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jaym\Downloads\"/>
    </mc:Choice>
  </mc:AlternateContent>
  <xr:revisionPtr revIDLastSave="0" documentId="13_ncr:1_{D526EB8E-5E5E-4473-981E-B3D69D2AA850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23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_xlnm._FilterDatabase" localSheetId="6" hidden="1">Task_5!$A$22:$C$36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6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C36" i="20"/>
  <c r="H43" i="20"/>
  <c r="H44" i="20"/>
  <c r="H45" i="20"/>
  <c r="H46" i="20"/>
  <c r="H47" i="20"/>
  <c r="H48" i="20"/>
  <c r="H49" i="20"/>
  <c r="B7" i="18"/>
  <c r="C7" i="18"/>
  <c r="D7" i="18"/>
  <c r="E7" i="18"/>
  <c r="E29" i="18" s="1"/>
  <c r="F7" i="18"/>
  <c r="B8" i="18"/>
  <c r="B29" i="18" s="1"/>
  <c r="C8" i="18"/>
  <c r="C30" i="18" s="1"/>
  <c r="D8" i="18"/>
  <c r="D30" i="18" s="1"/>
  <c r="E8" i="18"/>
  <c r="F8" i="18"/>
  <c r="B9" i="18"/>
  <c r="C9" i="18"/>
  <c r="D9" i="18"/>
  <c r="E9" i="18"/>
  <c r="E30" i="18" s="1"/>
  <c r="F9" i="18"/>
  <c r="F30" i="18" s="1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C29" i="18" s="1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B28" i="18"/>
  <c r="D29" i="18"/>
  <c r="C22" i="19" a="1"/>
  <c r="C22" i="19"/>
  <c r="B17" i="16"/>
  <c r="C17" i="16"/>
  <c r="D17" i="16"/>
  <c r="E17" i="16"/>
  <c r="F17" i="16"/>
  <c r="B18" i="16"/>
  <c r="C18" i="16"/>
  <c r="D18" i="16"/>
  <c r="E18" i="16"/>
  <c r="F18" i="16"/>
  <c r="B19" i="16"/>
  <c r="C19" i="16"/>
  <c r="D19" i="16"/>
  <c r="E19" i="16"/>
  <c r="F19" i="16"/>
  <c r="B20" i="16"/>
  <c r="C20" i="16"/>
  <c r="D20" i="16"/>
  <c r="E20" i="16"/>
  <c r="F20" i="16"/>
  <c r="B21" i="16"/>
  <c r="C21" i="16"/>
  <c r="D21" i="16"/>
  <c r="E21" i="16"/>
  <c r="F21" i="16"/>
  <c r="B22" i="16"/>
  <c r="C22" i="16"/>
  <c r="D22" i="16"/>
  <c r="E22" i="16"/>
  <c r="F22" i="16"/>
  <c r="B23" i="16"/>
  <c r="C23" i="16"/>
  <c r="D23" i="16"/>
  <c r="E23" i="16"/>
  <c r="F23" i="16"/>
  <c r="B24" i="16"/>
  <c r="C24" i="16"/>
  <c r="D24" i="16"/>
  <c r="E24" i="16"/>
  <c r="F24" i="16"/>
  <c r="B25" i="16"/>
  <c r="C25" i="16"/>
  <c r="D25" i="16"/>
  <c r="E25" i="16"/>
  <c r="F25" i="16"/>
  <c r="B26" i="16"/>
  <c r="C26" i="16"/>
  <c r="D26" i="16"/>
  <c r="E26" i="16"/>
  <c r="F26" i="16"/>
  <c r="B27" i="16"/>
  <c r="C27" i="16"/>
  <c r="D27" i="16"/>
  <c r="E27" i="16"/>
  <c r="F27" i="16"/>
  <c r="B28" i="16"/>
  <c r="C28" i="16"/>
  <c r="D28" i="16"/>
  <c r="E28" i="16"/>
  <c r="F28" i="16"/>
  <c r="B29" i="16"/>
  <c r="C29" i="16"/>
  <c r="D29" i="16"/>
  <c r="E29" i="16"/>
  <c r="F29" i="16"/>
  <c r="B30" i="16"/>
  <c r="C30" i="16"/>
  <c r="D30" i="16"/>
  <c r="E30" i="16"/>
  <c r="F30" i="16"/>
  <c r="B31" i="16"/>
  <c r="C31" i="16"/>
  <c r="D31" i="16"/>
  <c r="E31" i="16"/>
  <c r="F31" i="16"/>
  <c r="B32" i="16"/>
  <c r="C32" i="16"/>
  <c r="D32" i="16"/>
  <c r="E32" i="16"/>
  <c r="F32" i="16"/>
  <c r="B33" i="16"/>
  <c r="C33" i="16"/>
  <c r="D33" i="16"/>
  <c r="E33" i="16"/>
  <c r="F33" i="16"/>
  <c r="B34" i="16"/>
  <c r="C34" i="16"/>
  <c r="D34" i="16"/>
  <c r="E34" i="16"/>
  <c r="F34" i="16"/>
  <c r="B35" i="16"/>
  <c r="C35" i="16"/>
  <c r="D35" i="16"/>
  <c r="E35" i="16"/>
  <c r="F35" i="16"/>
  <c r="B36" i="16"/>
  <c r="C36" i="16"/>
  <c r="D36" i="16"/>
  <c r="E36" i="16"/>
  <c r="F36" i="16"/>
  <c r="B37" i="16"/>
  <c r="C37" i="16"/>
  <c r="D37" i="16"/>
  <c r="E37" i="16"/>
  <c r="F37" i="16"/>
  <c r="B38" i="16"/>
  <c r="C38" i="16"/>
  <c r="D38" i="16"/>
  <c r="E38" i="16"/>
  <c r="F38" i="16"/>
  <c r="B39" i="16"/>
  <c r="C39" i="16"/>
  <c r="D39" i="16"/>
  <c r="E39" i="16"/>
  <c r="F39" i="16"/>
  <c r="B40" i="16"/>
  <c r="C40" i="16"/>
  <c r="D40" i="16"/>
  <c r="E40" i="16"/>
  <c r="F40" i="16"/>
  <c r="B41" i="16"/>
  <c r="C41" i="16"/>
  <c r="D41" i="16"/>
  <c r="E41" i="16"/>
  <c r="F41" i="16"/>
  <c r="B42" i="16"/>
  <c r="C42" i="16"/>
  <c r="D42" i="16"/>
  <c r="E42" i="16"/>
  <c r="F42" i="16"/>
  <c r="B43" i="16"/>
  <c r="C43" i="16"/>
  <c r="D43" i="16"/>
  <c r="E43" i="16"/>
  <c r="F43" i="16"/>
  <c r="B44" i="16"/>
  <c r="C44" i="16"/>
  <c r="D44" i="16"/>
  <c r="E44" i="16"/>
  <c r="F44" i="16"/>
  <c r="B45" i="16"/>
  <c r="C45" i="16"/>
  <c r="D45" i="16"/>
  <c r="E45" i="16"/>
  <c r="F45" i="16"/>
  <c r="B46" i="16"/>
  <c r="C46" i="16"/>
  <c r="D46" i="16"/>
  <c r="E46" i="16"/>
  <c r="F46" i="16"/>
  <c r="B47" i="16"/>
  <c r="C47" i="16"/>
  <c r="D47" i="16"/>
  <c r="E47" i="16"/>
  <c r="F47" i="16"/>
  <c r="B48" i="16"/>
  <c r="C48" i="16"/>
  <c r="D48" i="16"/>
  <c r="E48" i="16"/>
  <c r="F48" i="16"/>
  <c r="B49" i="16"/>
  <c r="C49" i="16"/>
  <c r="D49" i="16"/>
  <c r="E49" i="16"/>
  <c r="F49" i="16"/>
  <c r="B50" i="16"/>
  <c r="C50" i="16"/>
  <c r="D50" i="16"/>
  <c r="E50" i="16"/>
  <c r="F50" i="16"/>
  <c r="B51" i="16"/>
  <c r="C51" i="16"/>
  <c r="D51" i="16"/>
  <c r="E51" i="16"/>
  <c r="F51" i="16"/>
  <c r="B52" i="16"/>
  <c r="C52" i="16"/>
  <c r="D52" i="16"/>
  <c r="E52" i="16"/>
  <c r="F52" i="16"/>
  <c r="B53" i="16"/>
  <c r="C53" i="16"/>
  <c r="D53" i="16"/>
  <c r="E53" i="16"/>
  <c r="F53" i="16"/>
  <c r="B54" i="16"/>
  <c r="C54" i="16"/>
  <c r="D54" i="16"/>
  <c r="E54" i="16"/>
  <c r="F54" i="16"/>
  <c r="F16" i="16"/>
  <c r="E16" i="16"/>
  <c r="D16" i="16"/>
  <c r="C16" i="16"/>
  <c r="F28" i="18" l="1"/>
  <c r="E28" i="18"/>
  <c r="F29" i="18"/>
  <c r="D28" i="18"/>
  <c r="C28" i="18"/>
  <c r="B30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<sst xmlns="http://schemas.openxmlformats.org/spreadsheetml/2006/main" count="338" uniqueCount="184">
  <si>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</si>
  <si>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</si>
  <si>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</si>
  <si>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</si>
  <si>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</si>
  <si>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</si>
  <si>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</si>
  <si>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</si>
  <si>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</si>
  <si>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</si>
  <si>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</si>
  <si>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</si>
  <si>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</si>
  <si>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</si>
  <si>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</si>
  <si>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</si>
  <si>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</si>
  <si>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</si>
  <si>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</si>
  <si>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</si>
  <si>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</si>
  <si>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</si>
  <si>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</si>
  <si>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</si>
  <si>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</si>
  <si>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</si>
  <si>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</si>
  <si>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</si>
  <si>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</si>
  <si>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</si>
  <si>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</si>
  <si>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</si>
  <si>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</si>
  <si>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</si>
  <si>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</si>
  <si>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</si>
  <si>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</si>
  <si>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</si>
  <si>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</si>
  <si>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</si>
  <si>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</si>
  <si>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</si>
  <si>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</si>
  <si>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</si>
  <si>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</si>
  <si>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</si>
  <si>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</si>
  <si>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</si>
  <si>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</si>
  <si>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</si>
  <si>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</si>
  <si>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</si>
  <si>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</si>
  <si>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</si>
  <si>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</si>
  <si>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</si>
  <si>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</si>
  <si>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</si>
  <si>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</si>
  <si>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</si>
  <si>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</si>
  <si>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</si>
  <si>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</si>
  <si>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</si>
  <si>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</si>
  <si>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</si>
  <si>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</si>
  <si>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</si>
  <si>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</si>
  <si>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</si>
  <si>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</si>
  <si>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</si>
  <si>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</si>
  <si>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</si>
  <si>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</si>
  <si>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</si>
  <si>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</si>
  <si>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</si>
  <si>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</si>
  <si>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</si>
  <si>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</si>
  <si>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</si>
  <si>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</si>
  <si>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</si>
  <si>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</si>
  <si>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</si>
  <si>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</si>
  <si>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</si>
  <si>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</si>
  <si>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</si>
  <si>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</si>
  <si>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</si>
  <si>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</si>
  <si>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</si>
  <si>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</si>
  <si>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</si>
  <si>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</si>
  <si>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</si>
  <si>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</si>
  <si>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</si>
  <si>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</si>
  <si>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</si>
  <si>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</si>
  <si>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</si>
  <si>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</si>
  <si>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</si>
  <si>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</si>
  <si>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</si>
  <si>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</si>
  <si>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</si>
  <si>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</si>
  <si>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</si>
  <si>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</si>
  <si>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</si>
  <si>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</si>
  <si>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</si>
  <si>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</si>
  <si>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</si>
  <si>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</si>
  <si>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</si>
  <si>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</si>
  <si>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</si>
  <si>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</si>
  <si>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</si>
  <si>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</si>
  <si>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</si>
  <si>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</si>
  <si>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</si>
  <si>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</si>
  <si>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</si>
  <si>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</si>
  <si>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</si>
  <si>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</si>
  <si>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</si>
  <si>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</si>
  <si>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</si>
  <si>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</si>
  <si>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</si>
  <si>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</si>
  <si>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</si>
  <si>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</si>
  <si>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</si>
  <si>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</si>
  <si>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</si>
  <si>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</si>
  <si>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</si>
  <si>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</si>
  <si>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</si>
  <si>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</si>
  <si>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</si>
  <si>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</si>
  <si>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</si>
  <si>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</si>
  <si>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</si>
  <si>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</si>
  <si>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</si>
  <si>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</si>
  <si>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</si>
  <si>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</si>
  <si>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</si>
  <si>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</si>
  <si>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</si>
  <si>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</si>
  <si>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</si>
  <si>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</si>
  <si>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</si>
  <si>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</si>
  <si>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</si>
  <si>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</si>
  <si>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</si>
  <si>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</si>
  <si>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</si>
  <si>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</si>
  <si>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</si>
  <si>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</si>
  <si>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</si>
  <si>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</si>
  <si>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(=SUMIF('Dataset'!H:H,"&gt;20"))</t>
  </si>
  <si>
    <t>(=SUM(IF(ISNA(C12:C21), 20, C12:C21)))</t>
  </si>
  <si>
    <t>Used the paranthesis to display the formulae in the above cell. The formula basically checks each value in the 'Sales' column. If it finds an #N/A error, it substitutes it with '20' and then calculates the sum of all these values, gives us the total sales amount while replacing any error values with '20'</t>
  </si>
  <si>
    <t>(=IFERROR(INDEX($A$9:$J$18, MATCH(VLOOKUP(A23, $M$9:$N$18, 2, 0), $A$9:$A$18, 0), MATCH(VLOOKUP(B23, $M$9:$N$18, 2, 0), $A$9:$J$9, 0)), ""))</t>
  </si>
  <si>
    <t>The formula looks up values in Table_A based on matches found in Table_B using data from Table_C. It uses VLOOKUP to get references from Table_B, then MATCH to find those references in Table_A to fetch the corresponding values</t>
  </si>
  <si>
    <t>Used multiple function such as left, mid, right, len, find to separate it accordingly.</t>
  </si>
  <si>
    <t>(=LEFT(A16, FIND("-", A16) - 1)),(=MID(A16, FIND("-", A16) + 1, FIND("-", A16, FIND("-", A16) + 1) - FIND("-", A16) - 1)))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</si>
</sst>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yyyy/mm/dd;@"/>
    <numFmt numFmtId="176" formatCode="0.0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7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8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applyFont="1" applyAlignment="1"/>
    <xf numFmtId="0" fontId="8" fillId="0" borderId="0" xfId="0" applyFont="1" applyBorder="1"/>
    <xf numFmtId="176" fontId="3" fillId="5" borderId="1" xfId="0" applyNumberFormat="1" applyFont="1" applyFill="1" applyBorder="1"/>
    <xf numFmtId="0" fontId="7" fillId="0" borderId="0" xfId="0" applyFont="1" applyFill="1" applyBorder="1"/>
    <xf numFmtId="0" fontId="8" fillId="0" borderId="0" xfId="0" applyFont="1" applyFill="1" applyBorder="1"/>
    <xf numFmtId="0" fontId="3" fillId="0" borderId="0" xfId="0" applyFont="1" applyFill="1" applyBorder="1"/>
    <xf numFmtId="0" fontId="18" fillId="0" borderId="0" xfId="0" applyFont="1"/>
    <xf numFmtId="0" fontId="3" fillId="0" borderId="1" xfId="0" applyFont="1" applyBorder="1" applyAlignment="1">
      <alignment horizontal="righ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B05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4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1" t="s">
        <v>171</v>
      </c>
      <c r="B9" s="21" t="s">
        <v>169</v>
      </c>
    </row>
    <row r="10" spans="1:3" x14ac:dyDescent="0.3">
      <c r="A10" s="30" t="s">
        <v>172</v>
      </c>
      <c r="B10" s="32">
        <v>25</v>
      </c>
    </row>
    <row r="11" spans="1:3" x14ac:dyDescent="0.3">
      <c r="A11" s="30" t="s">
        <v>55</v>
      </c>
      <c r="B11" s="32">
        <v>30</v>
      </c>
    </row>
    <row r="12" spans="1:3" x14ac:dyDescent="0.3">
      <c r="A12" s="30" t="s">
        <v>56</v>
      </c>
      <c r="B12" s="32">
        <v>10</v>
      </c>
    </row>
    <row r="13" spans="1:3" x14ac:dyDescent="0.3">
      <c r="A13" s="30" t="s">
        <v>85</v>
      </c>
      <c r="B13" s="32">
        <v>20</v>
      </c>
    </row>
    <row r="14" spans="1:3" x14ac:dyDescent="0.3">
      <c r="A14" s="30" t="s">
        <v>98</v>
      </c>
      <c r="B14" s="32">
        <v>40</v>
      </c>
    </row>
    <row r="15" spans="1:3" x14ac:dyDescent="0.3">
      <c r="A15" s="33" t="s">
        <v>170</v>
      </c>
      <c r="B15" s="20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CC0E1-0EF8-4450-AA43-975EBD84EDE1}">
  <dimension ref="A1:X40"/>
  <sheetViews>
    <sheetView zoomScaleNormal="100" workbookViewId="0">
      <pane ySplit="1" topLeftCell="A4" activePane="bottomLeft" state="frozen"/>
      <selection pane="bottomLeft" activeCell="D11" sqref="D1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19" customWidth="1"/>
    <col min="5" max="5" width="9.19921875" style="1" bestFit="1" customWidth="1"/>
    <col min="6" max="6" width="10.3984375" style="19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0" bestFit="1" customWidth="1"/>
    <col min="25" max="16384" width="9" style="1"/>
  </cols>
  <sheetData>
    <row r="1" spans="1:24" s="3" customFormat="1" ht="14.75" customHeight="1" x14ac:dyDescent="0.35">
      <c r="A1" s="22" t="s">
        <v>64</v>
      </c>
      <c r="B1" s="22" t="s">
        <v>43</v>
      </c>
      <c r="C1" s="22" t="s">
        <v>0</v>
      </c>
      <c r="D1" s="23" t="s">
        <v>1</v>
      </c>
      <c r="E1" s="22" t="s">
        <v>2</v>
      </c>
      <c r="F1" s="23" t="s">
        <v>3</v>
      </c>
      <c r="G1" s="24" t="s">
        <v>79</v>
      </c>
      <c r="H1" s="24" t="s">
        <v>65</v>
      </c>
      <c r="I1" s="24" t="s">
        <v>66</v>
      </c>
      <c r="J1" s="25" t="s">
        <v>67</v>
      </c>
      <c r="K1" s="25" t="s">
        <v>68</v>
      </c>
      <c r="L1" s="25" t="s">
        <v>69</v>
      </c>
      <c r="M1" s="24" t="s">
        <v>70</v>
      </c>
      <c r="N1" s="24" t="s">
        <v>71</v>
      </c>
      <c r="O1" s="24" t="s">
        <v>72</v>
      </c>
      <c r="P1" s="25" t="s">
        <v>73</v>
      </c>
      <c r="Q1" s="25" t="s">
        <v>74</v>
      </c>
      <c r="R1" s="25" t="s">
        <v>75</v>
      </c>
      <c r="S1" s="24" t="s">
        <v>80</v>
      </c>
      <c r="T1" s="24" t="s">
        <v>76</v>
      </c>
      <c r="U1" s="25" t="s">
        <v>81</v>
      </c>
      <c r="V1" s="25" t="s">
        <v>77</v>
      </c>
      <c r="W1" s="25" t="s">
        <v>78</v>
      </c>
      <c r="X1" s="39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19">
        <v>0</v>
      </c>
      <c r="E2" s="1" t="s">
        <v>6</v>
      </c>
      <c r="F2" s="19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0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19">
        <v>0</v>
      </c>
      <c r="E3" s="1" t="s">
        <v>6</v>
      </c>
      <c r="F3" s="19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0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19">
        <v>0</v>
      </c>
      <c r="E4" s="1" t="s">
        <v>6</v>
      </c>
      <c r="F4" s="19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0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19">
        <v>0</v>
      </c>
      <c r="E5" s="1" t="s">
        <v>6</v>
      </c>
      <c r="F5" s="19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0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19">
        <v>0</v>
      </c>
      <c r="E6" s="1" t="s">
        <v>6</v>
      </c>
      <c r="F6" s="19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0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19">
        <v>0</v>
      </c>
      <c r="E7" s="1" t="s">
        <v>6</v>
      </c>
      <c r="F7" s="19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0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19">
        <v>0</v>
      </c>
      <c r="E8" s="1" t="s">
        <v>6</v>
      </c>
      <c r="F8" s="19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0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19">
        <v>0</v>
      </c>
      <c r="E9" s="1" t="s">
        <v>6</v>
      </c>
      <c r="F9" s="19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0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19">
        <v>0</v>
      </c>
      <c r="E10" s="1" t="s">
        <v>6</v>
      </c>
      <c r="F10" s="19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0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19">
        <v>0</v>
      </c>
      <c r="E11" s="1" t="s">
        <v>6</v>
      </c>
      <c r="F11" s="19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0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19">
        <v>0</v>
      </c>
      <c r="E12" s="1" t="s">
        <v>6</v>
      </c>
      <c r="F12" s="19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0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19">
        <v>0</v>
      </c>
      <c r="E13" s="1" t="s">
        <v>6</v>
      </c>
      <c r="F13" s="19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0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19">
        <v>0</v>
      </c>
      <c r="E14" s="1" t="s">
        <v>6</v>
      </c>
      <c r="F14" s="19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0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19">
        <v>0</v>
      </c>
      <c r="E15" s="1" t="s">
        <v>6</v>
      </c>
      <c r="F15" s="19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0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19">
        <v>0</v>
      </c>
      <c r="E16" s="1" t="s">
        <v>6</v>
      </c>
      <c r="F16" s="19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0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19">
        <v>0</v>
      </c>
      <c r="E17" s="1" t="s">
        <v>6</v>
      </c>
      <c r="F17" s="19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0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19">
        <v>0</v>
      </c>
      <c r="E18" s="1" t="s">
        <v>6</v>
      </c>
      <c r="F18" s="19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0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19">
        <v>0</v>
      </c>
      <c r="E19" s="1" t="s">
        <v>6</v>
      </c>
      <c r="F19" s="19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0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19">
        <v>0</v>
      </c>
      <c r="E20" s="1" t="s">
        <v>6</v>
      </c>
      <c r="F20" s="19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0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19">
        <v>0</v>
      </c>
      <c r="E21" s="1" t="s">
        <v>6</v>
      </c>
      <c r="F21" s="19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0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19">
        <v>0</v>
      </c>
      <c r="E22" s="1" t="s">
        <v>6</v>
      </c>
      <c r="F22" s="19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0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19">
        <v>0</v>
      </c>
      <c r="E23" s="1" t="s">
        <v>6</v>
      </c>
      <c r="F23" s="19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0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19">
        <v>0</v>
      </c>
      <c r="E24" s="1" t="s">
        <v>6</v>
      </c>
      <c r="F24" s="19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0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19">
        <v>0</v>
      </c>
      <c r="E25" s="1" t="s">
        <v>6</v>
      </c>
      <c r="F25" s="19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0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19">
        <v>0</v>
      </c>
      <c r="E26" s="1" t="s">
        <v>6</v>
      </c>
      <c r="F26" s="19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0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19">
        <v>0</v>
      </c>
      <c r="E27" s="1" t="s">
        <v>6</v>
      </c>
      <c r="F27" s="19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0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19">
        <v>0</v>
      </c>
      <c r="E28" s="1" t="s">
        <v>6</v>
      </c>
      <c r="F28" s="19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0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19">
        <v>0</v>
      </c>
      <c r="E29" s="1" t="s">
        <v>6</v>
      </c>
      <c r="F29" s="19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0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19">
        <v>0</v>
      </c>
      <c r="E30" s="1" t="s">
        <v>6</v>
      </c>
      <c r="F30" s="19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0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19">
        <v>0</v>
      </c>
      <c r="E31" s="1" t="s">
        <v>6</v>
      </c>
      <c r="F31" s="19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0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19">
        <v>0</v>
      </c>
      <c r="E32" s="1" t="s">
        <v>6</v>
      </c>
      <c r="F32" s="19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0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19">
        <v>0</v>
      </c>
      <c r="E33" s="1" t="s">
        <v>6</v>
      </c>
      <c r="F33" s="19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0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19">
        <v>0</v>
      </c>
      <c r="E34" s="1" t="s">
        <v>6</v>
      </c>
      <c r="F34" s="19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0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19">
        <v>0</v>
      </c>
      <c r="E35" s="1" t="s">
        <v>6</v>
      </c>
      <c r="F35" s="19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0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19">
        <v>0</v>
      </c>
      <c r="E36" s="1" t="s">
        <v>6</v>
      </c>
      <c r="F36" s="19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0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19">
        <v>0</v>
      </c>
      <c r="E37" s="1" t="s">
        <v>6</v>
      </c>
      <c r="F37" s="19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0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19">
        <v>0</v>
      </c>
      <c r="E38" s="1" t="s">
        <v>6</v>
      </c>
      <c r="F38" s="19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0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19">
        <v>0</v>
      </c>
      <c r="E39" s="1" t="s">
        <v>6</v>
      </c>
      <c r="F39" s="19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0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19">
        <v>0</v>
      </c>
      <c r="E40" s="1" t="s">
        <v>6</v>
      </c>
      <c r="F40" s="19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0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</conditionalFormatting>
  <conditionalFormatting sqref="G1:W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31.5" style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29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T30"/>
  <sheetViews>
    <sheetView topLeftCell="A18"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20" s="36" customFormat="1" ht="21" x14ac:dyDescent="0.5">
      <c r="A1" s="37" t="s">
        <v>55</v>
      </c>
      <c r="B1" s="36" t="s">
        <v>164</v>
      </c>
    </row>
    <row r="2" spans="1:20" s="36" customFormat="1" ht="21" x14ac:dyDescent="0.5">
      <c r="B2" s="36" t="s">
        <v>161</v>
      </c>
    </row>
    <row r="3" spans="1:20" ht="14.5" x14ac:dyDescent="0.35">
      <c r="A3" s="1"/>
      <c r="B3" s="1"/>
      <c r="C3" s="1"/>
      <c r="D3" s="1"/>
      <c r="E3" s="1"/>
      <c r="F3" s="1"/>
      <c r="G3" s="1"/>
    </row>
    <row r="4" spans="1:20" ht="23.5" x14ac:dyDescent="0.55000000000000004">
      <c r="A4" s="13" t="s">
        <v>162</v>
      </c>
      <c r="B4" s="1"/>
      <c r="C4" s="1"/>
      <c r="D4" s="1"/>
      <c r="E4" s="1"/>
      <c r="F4" s="1"/>
      <c r="G4" s="1"/>
    </row>
    <row r="5" spans="1:20" ht="14.5" x14ac:dyDescent="0.35">
      <c r="A5" s="15" t="s">
        <v>64</v>
      </c>
      <c r="B5" s="16" t="s">
        <v>79</v>
      </c>
      <c r="C5" s="17" t="s">
        <v>71</v>
      </c>
      <c r="D5" s="16" t="s">
        <v>75</v>
      </c>
      <c r="E5" s="17" t="s">
        <v>76</v>
      </c>
      <c r="F5" s="18" t="s">
        <v>77</v>
      </c>
      <c r="H5" s="44"/>
      <c r="I5" s="44"/>
      <c r="J5" s="44"/>
      <c r="K5" s="44"/>
      <c r="L5" s="44"/>
      <c r="M5" s="44"/>
      <c r="N5" s="45"/>
      <c r="O5" s="44"/>
      <c r="P5" s="44"/>
      <c r="Q5" s="44"/>
      <c r="R5" s="44"/>
      <c r="S5" s="44"/>
      <c r="T5" s="44"/>
    </row>
    <row r="6" spans="1:20" ht="14.5" x14ac:dyDescent="0.35">
      <c r="A6" s="7" t="s">
        <v>40</v>
      </c>
      <c r="B6" s="10">
        <f>VLOOKUP(Task_2!$A6, Dataset!$A$2:$X$40, MATCH(B$5, Dataset!$A$1:$X$1, 0), FALSE)</f>
        <v>2.7</v>
      </c>
      <c r="C6" s="10">
        <f>VLOOKUP(Task_2!$A6, Dataset!$A$2:$X$40, MATCH(C$5, Dataset!$A$1:$X$1, 0), FALSE)</f>
        <v>7.6</v>
      </c>
      <c r="D6" s="10">
        <f>VLOOKUP(Task_2!$A6, Dataset!$A$2:$X$40, MATCH(D$5, Dataset!$A$1:$X$1, 0), FALSE)</f>
        <v>4.2</v>
      </c>
      <c r="E6" s="10">
        <f>VLOOKUP(Task_2!$A6, Dataset!$A$2:$X$40, MATCH(E$5, Dataset!$A$1:$X$1, 0), FALSE)</f>
        <v>8.9</v>
      </c>
      <c r="F6" s="10">
        <f>VLOOKUP(Task_2!$A6, Dataset!$A$2:$X$40, MATCH(F$5, Dataset!$A$1:$X$1, 0), FALSE)</f>
        <v>4.2</v>
      </c>
      <c r="H6" s="46"/>
      <c r="I6" s="46"/>
      <c r="J6" s="46"/>
      <c r="K6" s="46"/>
      <c r="L6" s="46"/>
      <c r="M6" s="46"/>
      <c r="N6" s="45"/>
      <c r="O6" s="46"/>
      <c r="P6" s="46"/>
      <c r="Q6" s="46"/>
      <c r="R6" s="46"/>
      <c r="S6" s="46"/>
      <c r="T6" s="46"/>
    </row>
    <row r="7" spans="1:20" ht="14.5" x14ac:dyDescent="0.35">
      <c r="A7" s="7" t="s">
        <v>4</v>
      </c>
      <c r="B7" s="10">
        <f>VLOOKUP(Task_2!$A7, Dataset!$A$2:$X$40, MATCH(B$5, Dataset!$A$1:$X$1, 0), FALSE)</f>
        <v>2.7</v>
      </c>
      <c r="C7" s="10">
        <f>VLOOKUP(Task_2!$A7, Dataset!$A$2:$X$40, MATCH(C$5, Dataset!$A$1:$X$1, 0), FALSE)</f>
        <v>7.6</v>
      </c>
      <c r="D7" s="10">
        <f>VLOOKUP(Task_2!$A7, Dataset!$A$2:$X$40, MATCH(D$5, Dataset!$A$1:$X$1, 0), FALSE)</f>
        <v>4.2</v>
      </c>
      <c r="E7" s="10">
        <f>VLOOKUP(Task_2!$A7, Dataset!$A$2:$X$40, MATCH(E$5, Dataset!$A$1:$X$1, 0), FALSE)</f>
        <v>8.9</v>
      </c>
      <c r="F7" s="10">
        <f>VLOOKUP(Task_2!$A7, Dataset!$A$2:$X$40, MATCH(F$5, Dataset!$A$1:$X$1, 0), FALSE)</f>
        <v>4.2</v>
      </c>
      <c r="H7" s="46"/>
      <c r="I7" s="46"/>
      <c r="J7" s="46"/>
      <c r="K7" s="46"/>
      <c r="L7" s="46"/>
      <c r="M7" s="46"/>
      <c r="N7" s="45"/>
      <c r="O7" s="45"/>
      <c r="P7" s="45"/>
      <c r="Q7" s="45"/>
      <c r="R7" s="45"/>
      <c r="S7" s="45"/>
      <c r="T7" s="45"/>
    </row>
    <row r="8" spans="1:20" ht="14.5" x14ac:dyDescent="0.35">
      <c r="A8" s="7" t="s">
        <v>7</v>
      </c>
      <c r="B8" s="10">
        <f>VLOOKUP(Task_2!$A8, Dataset!$A$2:$X$40, MATCH(B$5, Dataset!$A$1:$X$1, 0), FALSE)</f>
        <v>3.6</v>
      </c>
      <c r="C8" s="10">
        <f>VLOOKUP(Task_2!$A8, Dataset!$A$2:$X$40, MATCH(C$5, Dataset!$A$1:$X$1, 0), FALSE)</f>
        <v>11.1</v>
      </c>
      <c r="D8" s="10">
        <f>VLOOKUP(Task_2!$A8, Dataset!$A$2:$X$40, MATCH(D$5, Dataset!$A$1:$X$1, 0), FALSE)</f>
        <v>5.8</v>
      </c>
      <c r="E8" s="10">
        <f>VLOOKUP(Task_2!$A8, Dataset!$A$2:$X$40, MATCH(E$5, Dataset!$A$1:$X$1, 0), FALSE)</f>
        <v>12.2</v>
      </c>
      <c r="F8" s="10">
        <f>VLOOKUP(Task_2!$A8, Dataset!$A$2:$X$40, MATCH(F$5, Dataset!$A$1:$X$1, 0), FALSE)</f>
        <v>5.8</v>
      </c>
      <c r="H8" s="46"/>
      <c r="I8" s="46"/>
      <c r="J8" s="46"/>
      <c r="K8" s="46"/>
      <c r="L8" s="46"/>
      <c r="M8" s="46"/>
      <c r="N8" s="45"/>
      <c r="O8" s="45"/>
      <c r="P8" s="45"/>
      <c r="Q8" s="45"/>
      <c r="R8" s="45"/>
      <c r="S8" s="45"/>
      <c r="T8" s="45"/>
    </row>
    <row r="9" spans="1:20" ht="14.5" x14ac:dyDescent="0.35">
      <c r="A9" s="7" t="s">
        <v>8</v>
      </c>
      <c r="B9" s="10">
        <f>VLOOKUP(Task_2!$A9, Dataset!$A$2:$X$40, MATCH(B$5, Dataset!$A$1:$X$1, 0), FALSE)</f>
        <v>4.9000000000000004</v>
      </c>
      <c r="C9" s="10">
        <f>VLOOKUP(Task_2!$A9, Dataset!$A$2:$X$40, MATCH(C$5, Dataset!$A$1:$X$1, 0), FALSE)</f>
        <v>13.3</v>
      </c>
      <c r="D9" s="10">
        <f>VLOOKUP(Task_2!$A9, Dataset!$A$2:$X$40, MATCH(D$5, Dataset!$A$1:$X$1, 0), FALSE)</f>
        <v>8.1</v>
      </c>
      <c r="E9" s="10">
        <f>VLOOKUP(Task_2!$A9, Dataset!$A$2:$X$40, MATCH(E$5, Dataset!$A$1:$X$1, 0), FALSE)</f>
        <v>17</v>
      </c>
      <c r="F9" s="10">
        <f>VLOOKUP(Task_2!$A9, Dataset!$A$2:$X$40, MATCH(F$5, Dataset!$A$1:$X$1, 0), FALSE)</f>
        <v>8.1</v>
      </c>
      <c r="H9" s="46"/>
      <c r="I9" s="46"/>
      <c r="J9" s="46"/>
      <c r="K9" s="46"/>
      <c r="L9" s="46"/>
      <c r="M9" s="46"/>
      <c r="N9" s="45"/>
      <c r="O9" s="45"/>
      <c r="P9" s="45"/>
      <c r="Q9" s="45"/>
      <c r="R9" s="45"/>
      <c r="S9" s="45"/>
      <c r="T9" s="45"/>
    </row>
    <row r="10" spans="1:20" ht="14.5" x14ac:dyDescent="0.35">
      <c r="A10" s="7" t="s">
        <v>11</v>
      </c>
      <c r="B10" s="10">
        <f>VLOOKUP(Task_2!$A10, Dataset!$A$2:$X$40, MATCH(B$5, Dataset!$A$1:$X$1, 0), FALSE)</f>
        <v>9.4</v>
      </c>
      <c r="C10" s="10">
        <f>VLOOKUP(Task_2!$A10, Dataset!$A$2:$X$40, MATCH(C$5, Dataset!$A$1:$X$1, 0), FALSE)</f>
        <v>28.3</v>
      </c>
      <c r="D10" s="10">
        <f>VLOOKUP(Task_2!$A10, Dataset!$A$2:$X$40, MATCH(D$5, Dataset!$A$1:$X$1, 0), FALSE)</f>
        <v>16.100000000000001</v>
      </c>
      <c r="E10" s="10">
        <f>VLOOKUP(Task_2!$A10, Dataset!$A$2:$X$40, MATCH(E$5, Dataset!$A$1:$X$1, 0), FALSE)</f>
        <v>32.799999999999997</v>
      </c>
      <c r="F10" s="10">
        <f>VLOOKUP(Task_2!$A10, Dataset!$A$2:$X$40, MATCH(F$5, Dataset!$A$1:$X$1, 0), FALSE)</f>
        <v>16.100000000000001</v>
      </c>
      <c r="H10" s="46"/>
      <c r="I10" s="46"/>
      <c r="J10" s="46"/>
      <c r="K10" s="46"/>
      <c r="L10" s="46"/>
      <c r="M10" s="46"/>
      <c r="N10" s="45"/>
      <c r="O10" s="45"/>
      <c r="P10" s="45"/>
      <c r="Q10" s="45"/>
      <c r="R10" s="45"/>
      <c r="S10" s="45"/>
      <c r="T10" s="45"/>
    </row>
    <row r="11" spans="1:20" ht="14.5" x14ac:dyDescent="0.35">
      <c r="A11" s="7" t="s">
        <v>12</v>
      </c>
      <c r="B11" s="10">
        <f>VLOOKUP(Task_2!$A11, Dataset!$A$2:$X$40, MATCH(B$5, Dataset!$A$1:$X$1, 0), FALSE)</f>
        <v>11.6</v>
      </c>
      <c r="C11" s="10">
        <f>VLOOKUP(Task_2!$A11, Dataset!$A$2:$X$40, MATCH(C$5, Dataset!$A$1:$X$1, 0), FALSE)</f>
        <v>35.200000000000003</v>
      </c>
      <c r="D11" s="10">
        <f>VLOOKUP(Task_2!$A11, Dataset!$A$2:$X$40, MATCH(D$5, Dataset!$A$1:$X$1, 0), FALSE)</f>
        <v>21.3</v>
      </c>
      <c r="E11" s="10">
        <f>VLOOKUP(Task_2!$A11, Dataset!$A$2:$X$40, MATCH(E$5, Dataset!$A$1:$X$1, 0), FALSE)</f>
        <v>43</v>
      </c>
      <c r="F11" s="10">
        <f>VLOOKUP(Task_2!$A11, Dataset!$A$2:$X$40, MATCH(F$5, Dataset!$A$1:$X$1, 0), FALSE)</f>
        <v>21.3</v>
      </c>
      <c r="H11" s="46"/>
      <c r="I11" s="46"/>
      <c r="J11" s="46"/>
      <c r="K11" s="46"/>
      <c r="L11" s="46"/>
      <c r="M11" s="46"/>
      <c r="N11" s="45"/>
      <c r="O11" s="45"/>
      <c r="P11" s="45"/>
      <c r="Q11" s="45"/>
      <c r="R11" s="45"/>
      <c r="S11" s="45"/>
      <c r="T11" s="45"/>
    </row>
    <row r="12" spans="1:20" ht="14.5" x14ac:dyDescent="0.35">
      <c r="A12" s="7" t="s">
        <v>14</v>
      </c>
      <c r="B12" s="10">
        <f>VLOOKUP(Task_2!$A12, Dataset!$A$2:$X$40, MATCH(B$5, Dataset!$A$1:$X$1, 0), FALSE)</f>
        <v>18.399999999999999</v>
      </c>
      <c r="C12" s="10">
        <f>VLOOKUP(Task_2!$A12, Dataset!$A$2:$X$40, MATCH(C$5, Dataset!$A$1:$X$1, 0), FALSE)</f>
        <v>55.6</v>
      </c>
      <c r="D12" s="10">
        <f>VLOOKUP(Task_2!$A12, Dataset!$A$2:$X$40, MATCH(D$5, Dataset!$A$1:$X$1, 0), FALSE)</f>
        <v>33.799999999999997</v>
      </c>
      <c r="E12" s="10">
        <f>VLOOKUP(Task_2!$A12, Dataset!$A$2:$X$40, MATCH(E$5, Dataset!$A$1:$X$1, 0), FALSE)</f>
        <v>67.900000000000006</v>
      </c>
      <c r="F12" s="10">
        <f>VLOOKUP(Task_2!$A12, Dataset!$A$2:$X$40, MATCH(F$5, Dataset!$A$1:$X$1, 0), FALSE)</f>
        <v>33.799999999999997</v>
      </c>
      <c r="H12" s="46"/>
      <c r="I12" s="46"/>
      <c r="J12" s="46"/>
      <c r="K12" s="46"/>
      <c r="L12" s="46"/>
      <c r="M12" s="46"/>
      <c r="N12" s="45"/>
      <c r="O12" s="45"/>
      <c r="P12" s="45"/>
      <c r="Q12" s="45"/>
      <c r="R12" s="45"/>
      <c r="S12" s="45"/>
      <c r="T12" s="45"/>
    </row>
    <row r="13" spans="1:20" ht="14.5" x14ac:dyDescent="0.35">
      <c r="A13" s="7" t="s">
        <v>15</v>
      </c>
      <c r="B13" s="10">
        <f>VLOOKUP(Task_2!$A13, Dataset!$A$2:$X$40, MATCH(B$5, Dataset!$A$1:$X$1, 0), FALSE)</f>
        <v>0</v>
      </c>
      <c r="C13" s="10">
        <f>VLOOKUP(Task_2!$A13, Dataset!$A$2:$X$40, MATCH(C$5, Dataset!$A$1:$X$1, 0), FALSE)</f>
        <v>0</v>
      </c>
      <c r="D13" s="10">
        <f>VLOOKUP(Task_2!$A13, Dataset!$A$2:$X$40, MATCH(D$5, Dataset!$A$1:$X$1, 0), FALSE)</f>
        <v>0</v>
      </c>
      <c r="E13" s="10">
        <f>VLOOKUP(Task_2!$A13, Dataset!$A$2:$X$40, MATCH(E$5, Dataset!$A$1:$X$1, 0), FALSE)</f>
        <v>0</v>
      </c>
      <c r="F13" s="10">
        <f>VLOOKUP(Task_2!$A13, Dataset!$A$2:$X$40, MATCH(F$5, Dataset!$A$1:$X$1, 0), FALSE)</f>
        <v>0</v>
      </c>
      <c r="H13" s="46"/>
      <c r="I13" s="46"/>
      <c r="J13" s="46"/>
      <c r="K13" s="46"/>
      <c r="L13" s="46"/>
      <c r="M13" s="46"/>
      <c r="N13" s="45"/>
      <c r="O13" s="45"/>
      <c r="P13" s="45"/>
      <c r="Q13" s="45"/>
      <c r="R13" s="45"/>
      <c r="S13" s="45"/>
      <c r="T13" s="45"/>
    </row>
    <row r="14" spans="1:20" ht="14.5" x14ac:dyDescent="0.35">
      <c r="A14" s="7" t="s">
        <v>16</v>
      </c>
      <c r="B14" s="10">
        <f>VLOOKUP(Task_2!$A14, Dataset!$A$2:$X$40, MATCH(B$5, Dataset!$A$1:$X$1, 0), FALSE)</f>
        <v>21.9</v>
      </c>
      <c r="C14" s="10">
        <f>VLOOKUP(Task_2!$A14, Dataset!$A$2:$X$40, MATCH(C$5, Dataset!$A$1:$X$1, 0), FALSE)</f>
        <v>61.5</v>
      </c>
      <c r="D14" s="10">
        <f>VLOOKUP(Task_2!$A14, Dataset!$A$2:$X$40, MATCH(D$5, Dataset!$A$1:$X$1, 0), FALSE)</f>
        <v>40.1</v>
      </c>
      <c r="E14" s="10">
        <f>VLOOKUP(Task_2!$A14, Dataset!$A$2:$X$40, MATCH(E$5, Dataset!$A$1:$X$1, 0), FALSE)</f>
        <v>76.599999999999994</v>
      </c>
      <c r="F14" s="10">
        <f>VLOOKUP(Task_2!$A14, Dataset!$A$2:$X$40, MATCH(F$5, Dataset!$A$1:$X$1, 0), FALSE)</f>
        <v>40.1</v>
      </c>
      <c r="H14" s="46"/>
      <c r="I14" s="46"/>
      <c r="J14" s="46"/>
      <c r="K14" s="46"/>
      <c r="L14" s="46"/>
      <c r="M14" s="46"/>
      <c r="N14" s="45"/>
      <c r="O14" s="45"/>
      <c r="P14" s="45"/>
      <c r="Q14" s="45"/>
      <c r="R14" s="45"/>
      <c r="S14" s="45"/>
      <c r="T14" s="45"/>
    </row>
    <row r="15" spans="1:20" ht="14.5" x14ac:dyDescent="0.35">
      <c r="A15" s="7" t="s">
        <v>18</v>
      </c>
      <c r="B15" s="10">
        <f>VLOOKUP(Task_2!$A15, Dataset!$A$2:$X$40, MATCH(B$5, Dataset!$A$1:$X$1, 0), FALSE)</f>
        <v>26.8</v>
      </c>
      <c r="C15" s="10">
        <f>VLOOKUP(Task_2!$A15, Dataset!$A$2:$X$40, MATCH(C$5, Dataset!$A$1:$X$1, 0), FALSE)</f>
        <v>79.599999999999994</v>
      </c>
      <c r="D15" s="10">
        <f>VLOOKUP(Task_2!$A15, Dataset!$A$2:$X$40, MATCH(D$5, Dataset!$A$1:$X$1, 0), FALSE)</f>
        <v>47.9</v>
      </c>
      <c r="E15" s="10">
        <f>VLOOKUP(Task_2!$A15, Dataset!$A$2:$X$40, MATCH(E$5, Dataset!$A$1:$X$1, 0), FALSE)</f>
        <v>96.8</v>
      </c>
      <c r="F15" s="10">
        <f>VLOOKUP(Task_2!$A15, Dataset!$A$2:$X$40, MATCH(F$5, Dataset!$A$1:$X$1, 0), FALSE)</f>
        <v>47.9</v>
      </c>
      <c r="H15" s="46"/>
      <c r="I15" s="46"/>
      <c r="J15" s="46"/>
      <c r="K15" s="46"/>
      <c r="L15" s="46"/>
      <c r="M15" s="46"/>
      <c r="N15" s="45"/>
      <c r="O15" s="45"/>
      <c r="P15" s="45"/>
      <c r="Q15" s="45"/>
      <c r="R15" s="45"/>
      <c r="S15" s="45"/>
      <c r="T15" s="45"/>
    </row>
    <row r="16" spans="1:20" ht="14.5" x14ac:dyDescent="0.35">
      <c r="A16" s="7" t="s">
        <v>20</v>
      </c>
      <c r="B16" s="10">
        <f>VLOOKUP(Task_2!$A16, Dataset!$A$2:$X$40, MATCH(B$5, Dataset!$A$1:$X$1, 0), FALSE)</f>
        <v>28.5</v>
      </c>
      <c r="C16" s="10">
        <f>VLOOKUP(Task_2!$A16, Dataset!$A$2:$X$40, MATCH(C$5, Dataset!$A$1:$X$1, 0), FALSE)</f>
        <v>85.4</v>
      </c>
      <c r="D16" s="10">
        <f>VLOOKUP(Task_2!$A16, Dataset!$A$2:$X$40, MATCH(D$5, Dataset!$A$1:$X$1, 0), FALSE)</f>
        <v>52.3</v>
      </c>
      <c r="E16" s="10">
        <f>VLOOKUP(Task_2!$A16, Dataset!$A$2:$X$40, MATCH(E$5, Dataset!$A$1:$X$1, 0), FALSE)</f>
        <v>106.1</v>
      </c>
      <c r="F16" s="10">
        <f>VLOOKUP(Task_2!$A16, Dataset!$A$2:$X$40, MATCH(F$5, Dataset!$A$1:$X$1, 0), FALSE)</f>
        <v>52.3</v>
      </c>
      <c r="H16" s="46"/>
      <c r="I16" s="46"/>
      <c r="J16" s="46"/>
      <c r="K16" s="46"/>
      <c r="L16" s="46"/>
      <c r="M16" s="46"/>
      <c r="N16" s="45"/>
      <c r="O16" s="45"/>
      <c r="P16" s="45"/>
      <c r="Q16" s="45"/>
      <c r="R16" s="45"/>
      <c r="S16" s="45"/>
      <c r="T16" s="45"/>
    </row>
    <row r="17" spans="1:20" ht="14.5" x14ac:dyDescent="0.35">
      <c r="A17" s="7" t="s">
        <v>22</v>
      </c>
      <c r="B17" s="10">
        <f>VLOOKUP(Task_2!$A17, Dataset!$A$2:$X$40, MATCH(B$5, Dataset!$A$1:$X$1, 0), FALSE)</f>
        <v>30.7</v>
      </c>
      <c r="C17" s="10">
        <f>VLOOKUP(Task_2!$A17, Dataset!$A$2:$X$40, MATCH(C$5, Dataset!$A$1:$X$1, 0), FALSE)</f>
        <v>92.1</v>
      </c>
      <c r="D17" s="10">
        <f>VLOOKUP(Task_2!$A17, Dataset!$A$2:$X$40, MATCH(D$5, Dataset!$A$1:$X$1, 0), FALSE)</f>
        <v>57</v>
      </c>
      <c r="E17" s="10">
        <f>VLOOKUP(Task_2!$A17, Dataset!$A$2:$X$40, MATCH(E$5, Dataset!$A$1:$X$1, 0), FALSE)</f>
        <v>115.1</v>
      </c>
      <c r="F17" s="10">
        <f>VLOOKUP(Task_2!$A17, Dataset!$A$2:$X$40, MATCH(F$5, Dataset!$A$1:$X$1, 0), FALSE)</f>
        <v>57</v>
      </c>
      <c r="H17" s="46"/>
      <c r="I17" s="46"/>
      <c r="J17" s="46"/>
      <c r="K17" s="46"/>
      <c r="L17" s="46"/>
      <c r="M17" s="46"/>
      <c r="N17" s="45"/>
      <c r="O17" s="45"/>
      <c r="P17" s="45"/>
      <c r="Q17" s="45"/>
      <c r="R17" s="45"/>
      <c r="S17" s="45"/>
      <c r="T17" s="45"/>
    </row>
    <row r="18" spans="1:20" ht="14.5" x14ac:dyDescent="0.35">
      <c r="A18" s="7" t="s">
        <v>23</v>
      </c>
      <c r="B18" s="10">
        <f>VLOOKUP(Task_2!$A18, Dataset!$A$2:$X$40, MATCH(B$5, Dataset!$A$1:$X$1, 0), FALSE)</f>
        <v>33.799999999999997</v>
      </c>
      <c r="C18" s="10">
        <f>VLOOKUP(Task_2!$A18, Dataset!$A$2:$X$40, MATCH(C$5, Dataset!$A$1:$X$1, 0), FALSE)</f>
        <v>101.3</v>
      </c>
      <c r="D18" s="10">
        <f>VLOOKUP(Task_2!$A18, Dataset!$A$2:$X$40, MATCH(D$5, Dataset!$A$1:$X$1, 0), FALSE)</f>
        <v>61.4</v>
      </c>
      <c r="E18" s="10">
        <f>VLOOKUP(Task_2!$A18, Dataset!$A$2:$X$40, MATCH(E$5, Dataset!$A$1:$X$1, 0), FALSE)</f>
        <v>124.4</v>
      </c>
      <c r="F18" s="10">
        <f>VLOOKUP(Task_2!$A18, Dataset!$A$2:$X$40, MATCH(F$5, Dataset!$A$1:$X$1, 0), FALSE)</f>
        <v>61.4</v>
      </c>
      <c r="H18" s="46"/>
      <c r="I18" s="46"/>
      <c r="J18" s="46"/>
      <c r="K18" s="46"/>
      <c r="L18" s="46"/>
      <c r="M18" s="46"/>
      <c r="N18" s="45"/>
      <c r="O18" s="45"/>
      <c r="P18" s="45"/>
      <c r="Q18" s="45"/>
      <c r="R18" s="45"/>
      <c r="S18" s="45"/>
      <c r="T18" s="45"/>
    </row>
    <row r="19" spans="1:20" ht="14.5" x14ac:dyDescent="0.35">
      <c r="A19" s="7" t="s">
        <v>24</v>
      </c>
      <c r="B19" s="10">
        <f>VLOOKUP(Task_2!$A19, Dataset!$A$2:$X$40, MATCH(B$5, Dataset!$A$1:$X$1, 0), FALSE)</f>
        <v>34.700000000000003</v>
      </c>
      <c r="C19" s="10">
        <f>VLOOKUP(Task_2!$A19, Dataset!$A$2:$X$40, MATCH(C$5, Dataset!$A$1:$X$1, 0), FALSE)</f>
        <v>106.1</v>
      </c>
      <c r="D19" s="10">
        <f>VLOOKUP(Task_2!$A19, Dataset!$A$2:$X$40, MATCH(D$5, Dataset!$A$1:$X$1, 0), FALSE)</f>
        <v>63.6</v>
      </c>
      <c r="E19" s="10">
        <f>VLOOKUP(Task_2!$A19, Dataset!$A$2:$X$40, MATCH(E$5, Dataset!$A$1:$X$1, 0), FALSE)</f>
        <v>128.6</v>
      </c>
      <c r="F19" s="10">
        <f>VLOOKUP(Task_2!$A19, Dataset!$A$2:$X$40, MATCH(F$5, Dataset!$A$1:$X$1, 0), FALSE)</f>
        <v>63.6</v>
      </c>
      <c r="H19" s="46"/>
      <c r="I19" s="46"/>
      <c r="J19" s="46"/>
      <c r="K19" s="46"/>
      <c r="L19" s="46"/>
      <c r="M19" s="46"/>
      <c r="N19" s="45"/>
      <c r="O19" s="45"/>
      <c r="P19" s="45"/>
      <c r="Q19" s="45"/>
      <c r="R19" s="45"/>
      <c r="S19" s="45"/>
      <c r="T19" s="45"/>
    </row>
    <row r="20" spans="1:20" ht="14.5" x14ac:dyDescent="0.35">
      <c r="A20" s="7" t="s">
        <v>28</v>
      </c>
      <c r="B20" s="10">
        <f>VLOOKUP(Task_2!$A20, Dataset!$A$2:$X$40, MATCH(B$5, Dataset!$A$1:$X$1, 0), FALSE)</f>
        <v>0</v>
      </c>
      <c r="C20" s="10">
        <f>VLOOKUP(Task_2!$A20, Dataset!$A$2:$X$40, MATCH(C$5, Dataset!$A$1:$X$1, 0), FALSE)</f>
        <v>0</v>
      </c>
      <c r="D20" s="10">
        <f>VLOOKUP(Task_2!$A20, Dataset!$A$2:$X$40, MATCH(D$5, Dataset!$A$1:$X$1, 0), FALSE)</f>
        <v>0</v>
      </c>
      <c r="E20" s="10">
        <f>VLOOKUP(Task_2!$A20, Dataset!$A$2:$X$40, MATCH(E$5, Dataset!$A$1:$X$1, 0), FALSE)</f>
        <v>0</v>
      </c>
      <c r="F20" s="10">
        <f>VLOOKUP(Task_2!$A20, Dataset!$A$2:$X$40, MATCH(F$5, Dataset!$A$1:$X$1, 0), FALSE)</f>
        <v>0</v>
      </c>
      <c r="H20" s="46"/>
      <c r="I20" s="46"/>
      <c r="J20" s="46"/>
      <c r="K20" s="46"/>
      <c r="L20" s="46"/>
      <c r="M20" s="46"/>
      <c r="N20" s="45"/>
      <c r="O20" s="45"/>
      <c r="P20" s="45"/>
      <c r="Q20" s="45"/>
      <c r="R20" s="45"/>
      <c r="S20" s="45"/>
      <c r="T20" s="45"/>
    </row>
    <row r="21" spans="1:20" ht="14.5" x14ac:dyDescent="0.35">
      <c r="A21" s="7" t="s">
        <v>57</v>
      </c>
      <c r="B21" s="10">
        <f>VLOOKUP(Task_2!$A21, Dataset!$A$2:$X$40, MATCH(B$5, Dataset!$A$1:$X$1, 0), FALSE)</f>
        <v>41.3</v>
      </c>
      <c r="C21" s="10">
        <f>VLOOKUP(Task_2!$A21, Dataset!$A$2:$X$40, MATCH(C$5, Dataset!$A$1:$X$1, 0), FALSE)</f>
        <v>124.4</v>
      </c>
      <c r="D21" s="10">
        <f>VLOOKUP(Task_2!$A21, Dataset!$A$2:$X$40, MATCH(D$5, Dataset!$A$1:$X$1, 0), FALSE)</f>
        <v>75</v>
      </c>
      <c r="E21" s="10">
        <f>VLOOKUP(Task_2!$A21, Dataset!$A$2:$X$40, MATCH(E$5, Dataset!$A$1:$X$1, 0), FALSE)</f>
        <v>151.5</v>
      </c>
      <c r="F21" s="10">
        <f>VLOOKUP(Task_2!$A21, Dataset!$A$2:$X$40, MATCH(F$5, Dataset!$A$1:$X$1, 0), FALSE)</f>
        <v>75</v>
      </c>
      <c r="H21" s="46"/>
      <c r="I21" s="46"/>
      <c r="J21" s="46"/>
      <c r="K21" s="46"/>
      <c r="L21" s="46"/>
      <c r="M21" s="46"/>
      <c r="N21" s="45"/>
      <c r="O21" s="45"/>
      <c r="P21" s="45"/>
      <c r="Q21" s="45"/>
      <c r="R21" s="45"/>
      <c r="S21" s="45"/>
      <c r="T21" s="45"/>
    </row>
    <row r="22" spans="1:20" ht="14.5" x14ac:dyDescent="0.35">
      <c r="A22" s="7" t="s">
        <v>58</v>
      </c>
      <c r="B22" s="10">
        <f>VLOOKUP(Task_2!$A22, Dataset!$A$2:$X$40, MATCH(B$5, Dataset!$A$1:$X$1, 0), FALSE)</f>
        <v>-1</v>
      </c>
      <c r="C22" s="10">
        <f>VLOOKUP(Task_2!$A22, Dataset!$A$2:$X$40, MATCH(C$5, Dataset!$A$1:$X$1, 0), FALSE)</f>
        <v>-1</v>
      </c>
      <c r="D22" s="10">
        <f>VLOOKUP(Task_2!$A22, Dataset!$A$2:$X$40, MATCH(D$5, Dataset!$A$1:$X$1, 0), FALSE)</f>
        <v>-1</v>
      </c>
      <c r="E22" s="10">
        <f>VLOOKUP(Task_2!$A22, Dataset!$A$2:$X$40, MATCH(E$5, Dataset!$A$1:$X$1, 0), FALSE)</f>
        <v>-1</v>
      </c>
      <c r="F22" s="10">
        <f>VLOOKUP(Task_2!$A22, Dataset!$A$2:$X$40, MATCH(F$5, Dataset!$A$1:$X$1, 0), FALSE)</f>
        <v>-1</v>
      </c>
      <c r="H22" s="46"/>
      <c r="I22" s="46"/>
      <c r="J22" s="46"/>
      <c r="K22" s="46"/>
      <c r="L22" s="46"/>
      <c r="M22" s="46"/>
      <c r="N22" s="45"/>
      <c r="O22" s="45"/>
      <c r="P22" s="45"/>
      <c r="Q22" s="45"/>
      <c r="R22" s="45"/>
      <c r="S22" s="45"/>
      <c r="T22" s="45"/>
    </row>
    <row r="23" spans="1:20" ht="14.5" x14ac:dyDescent="0.35">
      <c r="A23" s="7" t="s">
        <v>31</v>
      </c>
      <c r="B23" s="10">
        <f>VLOOKUP(Task_2!$A23, Dataset!$A$2:$X$40, MATCH(B$5, Dataset!$A$1:$X$1, 0), FALSE)</f>
        <v>45</v>
      </c>
      <c r="C23" s="10">
        <f>VLOOKUP(Task_2!$A23, Dataset!$A$2:$X$40, MATCH(C$5, Dataset!$A$1:$X$1, 0), FALSE)</f>
        <v>133.4</v>
      </c>
      <c r="D23" s="10">
        <f>VLOOKUP(Task_2!$A23, Dataset!$A$2:$X$40, MATCH(D$5, Dataset!$A$1:$X$1, 0), FALSE)</f>
        <v>79.400000000000006</v>
      </c>
      <c r="E23" s="10">
        <f>VLOOKUP(Task_2!$A23, Dataset!$A$2:$X$40, MATCH(E$5, Dataset!$A$1:$X$1, 0), FALSE)</f>
        <v>160.9</v>
      </c>
      <c r="F23" s="10">
        <f>VLOOKUP(Task_2!$A23, Dataset!$A$2:$X$40, MATCH(F$5, Dataset!$A$1:$X$1, 0), FALSE)</f>
        <v>79.400000000000006</v>
      </c>
      <c r="H23" s="46"/>
      <c r="I23" s="46"/>
      <c r="J23" s="46"/>
      <c r="K23" s="46"/>
      <c r="L23" s="46"/>
      <c r="M23" s="46"/>
      <c r="N23" s="45"/>
      <c r="O23" s="45"/>
      <c r="P23" s="45"/>
      <c r="Q23" s="45"/>
      <c r="R23" s="45"/>
      <c r="S23" s="45"/>
      <c r="T23" s="45"/>
    </row>
    <row r="24" spans="1:20" ht="14.5" x14ac:dyDescent="0.35">
      <c r="A24" s="7" t="s">
        <v>32</v>
      </c>
      <c r="B24" s="10">
        <f>VLOOKUP(Task_2!$A24, Dataset!$A$2:$X$40, MATCH(B$5, Dataset!$A$1:$X$1, 0), FALSE)</f>
        <v>-1</v>
      </c>
      <c r="C24" s="10">
        <f>VLOOKUP(Task_2!$A24, Dataset!$A$2:$X$40, MATCH(C$5, Dataset!$A$1:$X$1, 0), FALSE)</f>
        <v>-1</v>
      </c>
      <c r="D24" s="10">
        <f>VLOOKUP(Task_2!$A24, Dataset!$A$2:$X$40, MATCH(D$5, Dataset!$A$1:$X$1, 0), FALSE)</f>
        <v>-1</v>
      </c>
      <c r="E24" s="10">
        <f>VLOOKUP(Task_2!$A24, Dataset!$A$2:$X$40, MATCH(E$5, Dataset!$A$1:$X$1, 0), FALSE)</f>
        <v>-1</v>
      </c>
      <c r="F24" s="10">
        <f>VLOOKUP(Task_2!$A24, Dataset!$A$2:$X$40, MATCH(F$5, Dataset!$A$1:$X$1, 0), FALSE)</f>
        <v>-1</v>
      </c>
      <c r="H24" s="46"/>
      <c r="I24" s="46"/>
      <c r="J24" s="46"/>
      <c r="K24" s="46"/>
      <c r="L24" s="46"/>
      <c r="M24" s="46"/>
      <c r="N24" s="45"/>
      <c r="O24" s="45"/>
      <c r="P24" s="45"/>
      <c r="Q24" s="45"/>
      <c r="R24" s="45"/>
      <c r="S24" s="45"/>
      <c r="T24" s="45"/>
    </row>
    <row r="25" spans="1:20" ht="14.5" x14ac:dyDescent="0.35">
      <c r="A25" s="7" t="s">
        <v>34</v>
      </c>
      <c r="B25" s="10">
        <f>VLOOKUP(Task_2!$A25, Dataset!$A$2:$X$40, MATCH(B$5, Dataset!$A$1:$X$1, 0), FALSE)</f>
        <v>43.3</v>
      </c>
      <c r="C25" s="10">
        <f>VLOOKUP(Task_2!$A25, Dataset!$A$2:$X$40, MATCH(C$5, Dataset!$A$1:$X$1, 0), FALSE)</f>
        <v>128.6</v>
      </c>
      <c r="D25" s="10">
        <f>VLOOKUP(Task_2!$A25, Dataset!$A$2:$X$40, MATCH(D$5, Dataset!$A$1:$X$1, 0), FALSE)</f>
        <v>79.400000000000006</v>
      </c>
      <c r="E25" s="10">
        <f>VLOOKUP(Task_2!$A25, Dataset!$A$2:$X$40, MATCH(E$5, Dataset!$A$1:$X$1, 0), FALSE)</f>
        <v>160.9</v>
      </c>
      <c r="F25" s="10">
        <f>VLOOKUP(Task_2!$A25, Dataset!$A$2:$X$40, MATCH(F$5, Dataset!$A$1:$X$1, 0), FALSE)</f>
        <v>79.400000000000006</v>
      </c>
      <c r="H25" s="46"/>
      <c r="I25" s="46"/>
      <c r="J25" s="46"/>
      <c r="K25" s="46"/>
      <c r="L25" s="46"/>
      <c r="M25" s="46"/>
      <c r="N25" s="45"/>
      <c r="O25" s="45"/>
      <c r="P25" s="45"/>
      <c r="Q25" s="45"/>
      <c r="R25" s="45"/>
      <c r="S25" s="45"/>
      <c r="T25" s="45"/>
    </row>
    <row r="26" spans="1:20" ht="14.5" x14ac:dyDescent="0.35">
      <c r="A26" s="7" t="s">
        <v>37</v>
      </c>
      <c r="B26" s="10">
        <f>VLOOKUP(Task_2!$A26, Dataset!$A$2:$X$40, MATCH(B$5, Dataset!$A$1:$X$1, 0), FALSE)</f>
        <v>49.1</v>
      </c>
      <c r="C26" s="10">
        <f>VLOOKUP(Task_2!$A26, Dataset!$A$2:$X$40, MATCH(C$5, Dataset!$A$1:$X$1, 0), FALSE)</f>
        <v>146.80000000000001</v>
      </c>
      <c r="D26" s="10">
        <f>VLOOKUP(Task_2!$A26, Dataset!$A$2:$X$40, MATCH(D$5, Dataset!$A$1:$X$1, 0), FALSE)</f>
        <v>90.9</v>
      </c>
      <c r="E26" s="10">
        <f>VLOOKUP(Task_2!$A26, Dataset!$A$2:$X$40, MATCH(E$5, Dataset!$A$1:$X$1, 0), FALSE)</f>
        <v>183.5</v>
      </c>
      <c r="F26" s="10">
        <f>VLOOKUP(Task_2!$A26, Dataset!$A$2:$X$40, MATCH(F$5, Dataset!$A$1:$X$1, 0), FALSE)</f>
        <v>90.9</v>
      </c>
      <c r="H26" s="46"/>
      <c r="I26" s="46"/>
      <c r="J26" s="46"/>
      <c r="K26" s="46"/>
      <c r="L26" s="46"/>
      <c r="M26" s="46"/>
      <c r="N26" s="45"/>
      <c r="O26" s="45"/>
      <c r="P26" s="45"/>
      <c r="Q26" s="45"/>
      <c r="R26" s="45"/>
      <c r="S26" s="45"/>
      <c r="T26" s="45"/>
    </row>
    <row r="27" spans="1:20" ht="14.5" x14ac:dyDescent="0.35">
      <c r="A27" s="7" t="s">
        <v>39</v>
      </c>
      <c r="B27" s="10">
        <f>VLOOKUP(Task_2!$A27, Dataset!$A$2:$X$40, MATCH(B$5, Dataset!$A$1:$X$1, 0), FALSE)</f>
        <v>51.8</v>
      </c>
      <c r="C27" s="10">
        <f>VLOOKUP(Task_2!$A27, Dataset!$A$2:$X$40, MATCH(C$5, Dataset!$A$1:$X$1, 0), FALSE)</f>
        <v>156.4</v>
      </c>
      <c r="D27" s="10">
        <f>VLOOKUP(Task_2!$A27, Dataset!$A$2:$X$40, MATCH(D$5, Dataset!$A$1:$X$1, 0), FALSE)</f>
        <v>93.1</v>
      </c>
      <c r="E27" s="10">
        <f>VLOOKUP(Task_2!$A27, Dataset!$A$2:$X$40, MATCH(E$5, Dataset!$A$1:$X$1, 0), FALSE)</f>
        <v>188.1</v>
      </c>
      <c r="F27" s="10">
        <f>VLOOKUP(Task_2!$A27, Dataset!$A$2:$X$40, MATCH(F$5, Dataset!$A$1:$X$1, 0), FALSE)</f>
        <v>93.1</v>
      </c>
      <c r="H27" s="46"/>
      <c r="I27" s="46"/>
      <c r="J27" s="46"/>
      <c r="K27" s="46"/>
      <c r="L27" s="46"/>
      <c r="M27" s="46"/>
      <c r="N27" s="45"/>
      <c r="O27" s="45"/>
      <c r="P27" s="45"/>
      <c r="Q27" s="45"/>
      <c r="R27" s="45"/>
      <c r="S27" s="45"/>
      <c r="T27" s="45"/>
    </row>
    <row r="28" spans="1:20" ht="14.5" x14ac:dyDescent="0.35">
      <c r="A28" s="14" t="s">
        <v>82</v>
      </c>
      <c r="B28" s="26">
        <f>MIN(B6:B27)</f>
        <v>-1</v>
      </c>
      <c r="C28" s="26">
        <f t="shared" ref="C28:F28" si="0">MIN(C6:C27)</f>
        <v>-1</v>
      </c>
      <c r="D28" s="26">
        <f t="shared" si="0"/>
        <v>-1</v>
      </c>
      <c r="E28" s="26">
        <f t="shared" si="0"/>
        <v>-1</v>
      </c>
      <c r="F28" s="26">
        <f t="shared" si="0"/>
        <v>-1</v>
      </c>
      <c r="H28" s="42"/>
      <c r="I28" s="42"/>
      <c r="J28" s="42"/>
    </row>
    <row r="29" spans="1:20" ht="14.5" x14ac:dyDescent="0.35">
      <c r="A29" s="14" t="s">
        <v>83</v>
      </c>
      <c r="B29" s="26">
        <f>MAX(B6:B27)</f>
        <v>51.8</v>
      </c>
      <c r="C29" s="26">
        <f t="shared" ref="C29:F29" si="1">MAX(C6:C27)</f>
        <v>156.4</v>
      </c>
      <c r="D29" s="26">
        <f t="shared" si="1"/>
        <v>93.1</v>
      </c>
      <c r="E29" s="26">
        <f t="shared" si="1"/>
        <v>188.1</v>
      </c>
      <c r="F29" s="26">
        <f t="shared" si="1"/>
        <v>93.1</v>
      </c>
      <c r="H29" s="42"/>
      <c r="I29" s="42"/>
      <c r="J29" s="42"/>
    </row>
    <row r="30" spans="1:20" ht="14.5" x14ac:dyDescent="0.35">
      <c r="A30" s="14" t="s">
        <v>84</v>
      </c>
      <c r="B30" s="43">
        <f>AVERAGE(B6:B27)</f>
        <v>20.827272727272728</v>
      </c>
      <c r="C30" s="43">
        <f t="shared" ref="C30:F30" si="2">AVERAGE(C6:C27)</f>
        <v>62.377272727272725</v>
      </c>
      <c r="D30" s="43">
        <f t="shared" si="2"/>
        <v>37.800000000000004</v>
      </c>
      <c r="E30" s="43">
        <f t="shared" si="2"/>
        <v>76.418181818181822</v>
      </c>
      <c r="F30" s="43">
        <f t="shared" si="2"/>
        <v>37.800000000000004</v>
      </c>
      <c r="H30" s="42"/>
      <c r="I30" s="42"/>
      <c r="J30" s="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6" zoomScaleNormal="100" workbookViewId="0">
      <selection activeCell="A15" sqref="A15:F54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6" customFormat="1" ht="21" x14ac:dyDescent="0.5">
      <c r="A1" s="37" t="s">
        <v>56</v>
      </c>
      <c r="B1" s="36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38" t="s">
        <v>53</v>
      </c>
      <c r="B5" s="35" t="s">
        <v>183</v>
      </c>
    </row>
    <row r="6" spans="1:10" ht="18.5" x14ac:dyDescent="0.45">
      <c r="A6" s="38" t="s">
        <v>153</v>
      </c>
      <c r="B6" s="35" t="s">
        <v>182</v>
      </c>
    </row>
    <row r="7" spans="1:10" ht="18.5" x14ac:dyDescent="0.45">
      <c r="A7" s="38"/>
      <c r="B7" s="35"/>
    </row>
    <row r="9" spans="1:10" ht="23.5" x14ac:dyDescent="0.55000000000000004">
      <c r="A9" s="13" t="s">
        <v>165</v>
      </c>
      <c r="I9" s="2"/>
      <c r="J9" s="2"/>
    </row>
    <row r="10" spans="1:10" x14ac:dyDescent="0.35">
      <c r="A10" s="28" t="s">
        <v>102</v>
      </c>
      <c r="B10" s="12" t="s">
        <v>49</v>
      </c>
      <c r="C10" s="12" t="s">
        <v>50</v>
      </c>
      <c r="D10" s="12" t="s">
        <v>51</v>
      </c>
      <c r="E10" s="12" t="s">
        <v>52</v>
      </c>
      <c r="F10" s="12" t="s">
        <v>54</v>
      </c>
      <c r="I10" s="2"/>
      <c r="J10" s="2"/>
    </row>
    <row r="11" spans="1:10" x14ac:dyDescent="0.3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5" x14ac:dyDescent="0.55000000000000004">
      <c r="A14" s="13" t="s">
        <v>162</v>
      </c>
    </row>
    <row r="15" spans="1:10" x14ac:dyDescent="0.35">
      <c r="A15" s="12" t="s">
        <v>103</v>
      </c>
      <c r="B15" s="12" t="s">
        <v>49</v>
      </c>
      <c r="C15" s="12" t="s">
        <v>50</v>
      </c>
      <c r="D15" s="12" t="s">
        <v>51</v>
      </c>
      <c r="E15" s="12" t="s">
        <v>52</v>
      </c>
      <c r="F15" s="12" t="s">
        <v>54</v>
      </c>
    </row>
    <row r="16" spans="1:10" x14ac:dyDescent="0.35">
      <c r="A16" s="12" t="s">
        <v>121</v>
      </c>
      <c r="B16" s="48" t="str">
        <f>LEFT(A16, FIND("-", A16) - 1)</f>
        <v>20000</v>
      </c>
      <c r="C16" s="12" t="str">
        <f>MID(A16, FIND("-", A16) + 1, FIND("-", A16, FIND("-", A16) + 1) - FIND("-", A16) - 1)</f>
        <v>Monday</v>
      </c>
      <c r="D16" s="48" t="str">
        <f>MID(A16, FIND("-", A16, FIND("-", A16) + 1) + 1, FIND("-", A16, FIND("-", A16, FIND("-", A16) + 1) + 1) - FIND("-", A16, FIND("-", A16) + 1) - 1)</f>
        <v>0</v>
      </c>
      <c r="E16" s="12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48" t="str">
        <f>MID(A16, FIND("-", A16, FIND("-", A16, FIND("-", A16, FIND("-", A16) + 1) + 1) + 1) + 1, LEN(A16) - FIND("-", A16, FIND("-", A16, FIND("-", A16, FIND("-", A16) + 1) + 1) + 1))</f>
        <v>24</v>
      </c>
    </row>
    <row r="17" spans="1:6" x14ac:dyDescent="0.35">
      <c r="A17" s="12" t="s">
        <v>122</v>
      </c>
      <c r="B17" s="48" t="str">
        <f t="shared" ref="B17:B54" si="0">LEFT(A17, FIND("-", A17) - 1)</f>
        <v>20002</v>
      </c>
      <c r="C17" s="12" t="str">
        <f t="shared" ref="C17:C54" si="1">MID(A17, FIND("-", A17) + 1, FIND("-", A17, FIND("-", A17) + 1) - FIND("-", A17) - 1)</f>
        <v>Monday</v>
      </c>
      <c r="D17" s="48" t="str">
        <f t="shared" ref="D17:D54" si="2">MID(A17, FIND("-", A17, FIND("-", A17) + 1) + 1, FIND("-", A17, FIND("-", A17, FIND("-", A17) + 1) + 1) - FIND("-", A17, FIND("-", A17) + 1) - 1)</f>
        <v>0</v>
      </c>
      <c r="E17" s="12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48" t="str">
        <f t="shared" ref="F17:F54" si="4">MID(A17, FIND("-", A17, FIND("-", A17, FIND("-", A17, FIND("-", A17) + 1) + 1) + 1) + 1, LEN(A17) - FIND("-", A17, FIND("-", A17, FIND("-", A17, FIND("-", A17) + 1) + 1) + 1))</f>
        <v>24</v>
      </c>
    </row>
    <row r="18" spans="1:6" x14ac:dyDescent="0.35">
      <c r="A18" s="12" t="s">
        <v>123</v>
      </c>
      <c r="B18" s="48" t="str">
        <f t="shared" si="0"/>
        <v>20004</v>
      </c>
      <c r="C18" s="12" t="str">
        <f t="shared" si="1"/>
        <v>Monday</v>
      </c>
      <c r="D18" s="48" t="str">
        <f t="shared" si="2"/>
        <v>0</v>
      </c>
      <c r="E18" s="12" t="str">
        <f t="shared" si="3"/>
        <v>Sunday</v>
      </c>
      <c r="F18" s="48" t="str">
        <f t="shared" si="4"/>
        <v>24</v>
      </c>
    </row>
    <row r="19" spans="1:6" x14ac:dyDescent="0.35">
      <c r="A19" s="12" t="s">
        <v>124</v>
      </c>
      <c r="B19" s="48" t="str">
        <f t="shared" si="0"/>
        <v>20006</v>
      </c>
      <c r="C19" s="12" t="str">
        <f t="shared" si="1"/>
        <v>Monday</v>
      </c>
      <c r="D19" s="48" t="str">
        <f t="shared" si="2"/>
        <v>0</v>
      </c>
      <c r="E19" s="12" t="str">
        <f t="shared" si="3"/>
        <v>Sunday</v>
      </c>
      <c r="F19" s="48" t="str">
        <f t="shared" si="4"/>
        <v>24</v>
      </c>
    </row>
    <row r="20" spans="1:6" x14ac:dyDescent="0.35">
      <c r="A20" s="12" t="s">
        <v>125</v>
      </c>
      <c r="B20" s="48" t="str">
        <f t="shared" si="0"/>
        <v>20008</v>
      </c>
      <c r="C20" s="12" t="str">
        <f t="shared" si="1"/>
        <v>Monday</v>
      </c>
      <c r="D20" s="48" t="str">
        <f t="shared" si="2"/>
        <v>0</v>
      </c>
      <c r="E20" s="12" t="str">
        <f t="shared" si="3"/>
        <v>Sunday</v>
      </c>
      <c r="F20" s="48" t="str">
        <f t="shared" si="4"/>
        <v>24</v>
      </c>
    </row>
    <row r="21" spans="1:6" x14ac:dyDescent="0.35">
      <c r="A21" s="12" t="s">
        <v>126</v>
      </c>
      <c r="B21" s="48" t="str">
        <f t="shared" si="0"/>
        <v>20010</v>
      </c>
      <c r="C21" s="12" t="str">
        <f t="shared" si="1"/>
        <v>Monday</v>
      </c>
      <c r="D21" s="48" t="str">
        <f t="shared" si="2"/>
        <v>0</v>
      </c>
      <c r="E21" s="12" t="str">
        <f t="shared" si="3"/>
        <v>Sunday</v>
      </c>
      <c r="F21" s="48" t="str">
        <f t="shared" si="4"/>
        <v>24</v>
      </c>
    </row>
    <row r="22" spans="1:6" x14ac:dyDescent="0.35">
      <c r="A22" s="12" t="s">
        <v>127</v>
      </c>
      <c r="B22" s="48" t="str">
        <f t="shared" si="0"/>
        <v>20012</v>
      </c>
      <c r="C22" s="12" t="str">
        <f t="shared" si="1"/>
        <v>Monday</v>
      </c>
      <c r="D22" s="48" t="str">
        <f t="shared" si="2"/>
        <v>0</v>
      </c>
      <c r="E22" s="12" t="str">
        <f t="shared" si="3"/>
        <v>Sunday</v>
      </c>
      <c r="F22" s="48" t="str">
        <f t="shared" si="4"/>
        <v>24</v>
      </c>
    </row>
    <row r="23" spans="1:6" x14ac:dyDescent="0.35">
      <c r="A23" s="12" t="s">
        <v>128</v>
      </c>
      <c r="B23" s="48" t="str">
        <f t="shared" si="0"/>
        <v>20014</v>
      </c>
      <c r="C23" s="12" t="str">
        <f t="shared" si="1"/>
        <v>Monday</v>
      </c>
      <c r="D23" s="48" t="str">
        <f t="shared" si="2"/>
        <v>0</v>
      </c>
      <c r="E23" s="12" t="str">
        <f t="shared" si="3"/>
        <v>Sunday</v>
      </c>
      <c r="F23" s="48" t="str">
        <f t="shared" si="4"/>
        <v>24</v>
      </c>
    </row>
    <row r="24" spans="1:6" x14ac:dyDescent="0.35">
      <c r="A24" s="12" t="s">
        <v>129</v>
      </c>
      <c r="B24" s="48" t="str">
        <f t="shared" si="0"/>
        <v>20016</v>
      </c>
      <c r="C24" s="12" t="str">
        <f t="shared" si="1"/>
        <v>Monday</v>
      </c>
      <c r="D24" s="48" t="str">
        <f t="shared" si="2"/>
        <v>0</v>
      </c>
      <c r="E24" s="12" t="str">
        <f t="shared" si="3"/>
        <v>Sunday</v>
      </c>
      <c r="F24" s="48" t="str">
        <f t="shared" si="4"/>
        <v>24</v>
      </c>
    </row>
    <row r="25" spans="1:6" x14ac:dyDescent="0.35">
      <c r="A25" s="12" t="s">
        <v>130</v>
      </c>
      <c r="B25" s="48" t="str">
        <f t="shared" si="0"/>
        <v>20018</v>
      </c>
      <c r="C25" s="12" t="str">
        <f t="shared" si="1"/>
        <v>Monday</v>
      </c>
      <c r="D25" s="48" t="str">
        <f t="shared" si="2"/>
        <v>0</v>
      </c>
      <c r="E25" s="12" t="str">
        <f t="shared" si="3"/>
        <v>Sunday</v>
      </c>
      <c r="F25" s="48" t="str">
        <f t="shared" si="4"/>
        <v>24</v>
      </c>
    </row>
    <row r="26" spans="1:6" x14ac:dyDescent="0.35">
      <c r="A26" s="12" t="s">
        <v>131</v>
      </c>
      <c r="B26" s="48" t="str">
        <f t="shared" si="0"/>
        <v>20020</v>
      </c>
      <c r="C26" s="12" t="str">
        <f t="shared" si="1"/>
        <v>Monday</v>
      </c>
      <c r="D26" s="48" t="str">
        <f t="shared" si="2"/>
        <v>0</v>
      </c>
      <c r="E26" s="12" t="str">
        <f t="shared" si="3"/>
        <v>Sunday</v>
      </c>
      <c r="F26" s="48" t="str">
        <f t="shared" si="4"/>
        <v>24</v>
      </c>
    </row>
    <row r="27" spans="1:6" x14ac:dyDescent="0.35">
      <c r="A27" s="12" t="s">
        <v>132</v>
      </c>
      <c r="B27" s="48" t="str">
        <f t="shared" si="0"/>
        <v>20022</v>
      </c>
      <c r="C27" s="12" t="str">
        <f t="shared" si="1"/>
        <v>Monday</v>
      </c>
      <c r="D27" s="48" t="str">
        <f t="shared" si="2"/>
        <v>0</v>
      </c>
      <c r="E27" s="12" t="str">
        <f t="shared" si="3"/>
        <v>Sunday</v>
      </c>
      <c r="F27" s="48" t="str">
        <f t="shared" si="4"/>
        <v>24</v>
      </c>
    </row>
    <row r="28" spans="1:6" x14ac:dyDescent="0.35">
      <c r="A28" s="12" t="s">
        <v>133</v>
      </c>
      <c r="B28" s="48" t="str">
        <f t="shared" si="0"/>
        <v>20024</v>
      </c>
      <c r="C28" s="12" t="str">
        <f t="shared" si="1"/>
        <v>Monday</v>
      </c>
      <c r="D28" s="48" t="str">
        <f t="shared" si="2"/>
        <v>0</v>
      </c>
      <c r="E28" s="12" t="str">
        <f t="shared" si="3"/>
        <v>Sunday</v>
      </c>
      <c r="F28" s="48" t="str">
        <f t="shared" si="4"/>
        <v>24</v>
      </c>
    </row>
    <row r="29" spans="1:6" x14ac:dyDescent="0.35">
      <c r="A29" s="12" t="s">
        <v>134</v>
      </c>
      <c r="B29" s="48" t="str">
        <f t="shared" si="0"/>
        <v>20026</v>
      </c>
      <c r="C29" s="12" t="str">
        <f t="shared" si="1"/>
        <v>Monday</v>
      </c>
      <c r="D29" s="48" t="str">
        <f t="shared" si="2"/>
        <v>0</v>
      </c>
      <c r="E29" s="12" t="str">
        <f t="shared" si="3"/>
        <v>Sunday</v>
      </c>
      <c r="F29" s="48" t="str">
        <f t="shared" si="4"/>
        <v>24</v>
      </c>
    </row>
    <row r="30" spans="1:6" x14ac:dyDescent="0.35">
      <c r="A30" s="12" t="s">
        <v>135</v>
      </c>
      <c r="B30" s="48" t="str">
        <f t="shared" si="0"/>
        <v>20028</v>
      </c>
      <c r="C30" s="12" t="str">
        <f t="shared" si="1"/>
        <v>Monday</v>
      </c>
      <c r="D30" s="48" t="str">
        <f t="shared" si="2"/>
        <v>0</v>
      </c>
      <c r="E30" s="12" t="str">
        <f t="shared" si="3"/>
        <v>Sunday</v>
      </c>
      <c r="F30" s="48" t="str">
        <f t="shared" si="4"/>
        <v>24</v>
      </c>
    </row>
    <row r="31" spans="1:6" x14ac:dyDescent="0.35">
      <c r="A31" s="12" t="s">
        <v>136</v>
      </c>
      <c r="B31" s="48" t="str">
        <f t="shared" si="0"/>
        <v>20030</v>
      </c>
      <c r="C31" s="12" t="str">
        <f t="shared" si="1"/>
        <v>Monday</v>
      </c>
      <c r="D31" s="48" t="str">
        <f t="shared" si="2"/>
        <v>0</v>
      </c>
      <c r="E31" s="12" t="str">
        <f t="shared" si="3"/>
        <v>Sunday</v>
      </c>
      <c r="F31" s="48" t="str">
        <f t="shared" si="4"/>
        <v>24</v>
      </c>
    </row>
    <row r="32" spans="1:6" x14ac:dyDescent="0.35">
      <c r="A32" s="12" t="s">
        <v>137</v>
      </c>
      <c r="B32" s="48" t="str">
        <f t="shared" si="0"/>
        <v>20032</v>
      </c>
      <c r="C32" s="12" t="str">
        <f t="shared" si="1"/>
        <v>Monday</v>
      </c>
      <c r="D32" s="48" t="str">
        <f t="shared" si="2"/>
        <v>0</v>
      </c>
      <c r="E32" s="12" t="str">
        <f t="shared" si="3"/>
        <v>Sunday</v>
      </c>
      <c r="F32" s="48" t="str">
        <f t="shared" si="4"/>
        <v>24</v>
      </c>
    </row>
    <row r="33" spans="1:6" x14ac:dyDescent="0.35">
      <c r="A33" s="12" t="s">
        <v>138</v>
      </c>
      <c r="B33" s="48" t="str">
        <f t="shared" si="0"/>
        <v>20034</v>
      </c>
      <c r="C33" s="12" t="str">
        <f t="shared" si="1"/>
        <v>Monday</v>
      </c>
      <c r="D33" s="48" t="str">
        <f t="shared" si="2"/>
        <v>0</v>
      </c>
      <c r="E33" s="12" t="str">
        <f t="shared" si="3"/>
        <v>Sunday</v>
      </c>
      <c r="F33" s="48" t="str">
        <f t="shared" si="4"/>
        <v>24</v>
      </c>
    </row>
    <row r="34" spans="1:6" x14ac:dyDescent="0.35">
      <c r="A34" s="12" t="s">
        <v>139</v>
      </c>
      <c r="B34" s="48" t="str">
        <f t="shared" si="0"/>
        <v>20036</v>
      </c>
      <c r="C34" s="12" t="str">
        <f t="shared" si="1"/>
        <v>Monday</v>
      </c>
      <c r="D34" s="48" t="str">
        <f t="shared" si="2"/>
        <v>0</v>
      </c>
      <c r="E34" s="12" t="str">
        <f t="shared" si="3"/>
        <v>Sunday</v>
      </c>
      <c r="F34" s="48" t="str">
        <f t="shared" si="4"/>
        <v>24</v>
      </c>
    </row>
    <row r="35" spans="1:6" x14ac:dyDescent="0.35">
      <c r="A35" s="12" t="s">
        <v>140</v>
      </c>
      <c r="B35" s="48" t="str">
        <f t="shared" si="0"/>
        <v>20038</v>
      </c>
      <c r="C35" s="12" t="str">
        <f t="shared" si="1"/>
        <v>Monday</v>
      </c>
      <c r="D35" s="48" t="str">
        <f t="shared" si="2"/>
        <v>0</v>
      </c>
      <c r="E35" s="12" t="str">
        <f t="shared" si="3"/>
        <v>Sunday</v>
      </c>
      <c r="F35" s="48" t="str">
        <f t="shared" si="4"/>
        <v>24</v>
      </c>
    </row>
    <row r="36" spans="1:6" x14ac:dyDescent="0.35">
      <c r="A36" s="12" t="s">
        <v>141</v>
      </c>
      <c r="B36" s="48" t="str">
        <f t="shared" si="0"/>
        <v>20040</v>
      </c>
      <c r="C36" s="12" t="str">
        <f t="shared" si="1"/>
        <v>Monday</v>
      </c>
      <c r="D36" s="48" t="str">
        <f t="shared" si="2"/>
        <v>0</v>
      </c>
      <c r="E36" s="12" t="str">
        <f t="shared" si="3"/>
        <v>Sunday</v>
      </c>
      <c r="F36" s="48" t="str">
        <f t="shared" si="4"/>
        <v>24</v>
      </c>
    </row>
    <row r="37" spans="1:6" x14ac:dyDescent="0.35">
      <c r="A37" s="12" t="s">
        <v>142</v>
      </c>
      <c r="B37" s="48" t="str">
        <f t="shared" si="0"/>
        <v>20042</v>
      </c>
      <c r="C37" s="12" t="str">
        <f t="shared" si="1"/>
        <v>Monday</v>
      </c>
      <c r="D37" s="48" t="str">
        <f t="shared" si="2"/>
        <v>0</v>
      </c>
      <c r="E37" s="12" t="str">
        <f t="shared" si="3"/>
        <v>Sunday</v>
      </c>
      <c r="F37" s="48" t="str">
        <f t="shared" si="4"/>
        <v>24</v>
      </c>
    </row>
    <row r="38" spans="1:6" x14ac:dyDescent="0.35">
      <c r="A38" s="12" t="s">
        <v>143</v>
      </c>
      <c r="B38" s="48" t="str">
        <f t="shared" si="0"/>
        <v>20044</v>
      </c>
      <c r="C38" s="12" t="str">
        <f t="shared" si="1"/>
        <v>Monday</v>
      </c>
      <c r="D38" s="48" t="str">
        <f t="shared" si="2"/>
        <v>0</v>
      </c>
      <c r="E38" s="12" t="str">
        <f t="shared" si="3"/>
        <v>Sunday</v>
      </c>
      <c r="F38" s="48" t="str">
        <f t="shared" si="4"/>
        <v>24</v>
      </c>
    </row>
    <row r="39" spans="1:6" x14ac:dyDescent="0.35">
      <c r="A39" s="12" t="s">
        <v>144</v>
      </c>
      <c r="B39" s="48" t="str">
        <f t="shared" si="0"/>
        <v>20046</v>
      </c>
      <c r="C39" s="12" t="str">
        <f t="shared" si="1"/>
        <v>Monday</v>
      </c>
      <c r="D39" s="48" t="str">
        <f t="shared" si="2"/>
        <v>0</v>
      </c>
      <c r="E39" s="12" t="str">
        <f t="shared" si="3"/>
        <v>Sunday</v>
      </c>
      <c r="F39" s="48" t="str">
        <f t="shared" si="4"/>
        <v>24</v>
      </c>
    </row>
    <row r="40" spans="1:6" x14ac:dyDescent="0.35">
      <c r="A40" s="12" t="s">
        <v>145</v>
      </c>
      <c r="B40" s="48" t="str">
        <f t="shared" si="0"/>
        <v>20048</v>
      </c>
      <c r="C40" s="12" t="str">
        <f t="shared" si="1"/>
        <v>Monday</v>
      </c>
      <c r="D40" s="48" t="str">
        <f t="shared" si="2"/>
        <v>0</v>
      </c>
      <c r="E40" s="12" t="str">
        <f t="shared" si="3"/>
        <v>Sunday</v>
      </c>
      <c r="F40" s="48" t="str">
        <f t="shared" si="4"/>
        <v>24</v>
      </c>
    </row>
    <row r="41" spans="1:6" x14ac:dyDescent="0.35">
      <c r="A41" s="12" t="s">
        <v>146</v>
      </c>
      <c r="B41" s="48" t="str">
        <f t="shared" si="0"/>
        <v>20050</v>
      </c>
      <c r="C41" s="12" t="str">
        <f t="shared" si="1"/>
        <v>Monday</v>
      </c>
      <c r="D41" s="48" t="str">
        <f t="shared" si="2"/>
        <v>0</v>
      </c>
      <c r="E41" s="12" t="str">
        <f t="shared" si="3"/>
        <v>Sunday</v>
      </c>
      <c r="F41" s="48" t="str">
        <f t="shared" si="4"/>
        <v>24</v>
      </c>
    </row>
    <row r="42" spans="1:6" x14ac:dyDescent="0.35">
      <c r="A42" s="12" t="s">
        <v>147</v>
      </c>
      <c r="B42" s="48" t="str">
        <f t="shared" si="0"/>
        <v>20052</v>
      </c>
      <c r="C42" s="12" t="str">
        <f t="shared" si="1"/>
        <v>Monday</v>
      </c>
      <c r="D42" s="48" t="str">
        <f t="shared" si="2"/>
        <v>0</v>
      </c>
      <c r="E42" s="12" t="str">
        <f t="shared" si="3"/>
        <v>Sunday</v>
      </c>
      <c r="F42" s="48" t="str">
        <f t="shared" si="4"/>
        <v>24</v>
      </c>
    </row>
    <row r="43" spans="1:6" x14ac:dyDescent="0.35">
      <c r="A43" s="12" t="s">
        <v>148</v>
      </c>
      <c r="B43" s="48" t="str">
        <f t="shared" si="0"/>
        <v>20054</v>
      </c>
      <c r="C43" s="12" t="str">
        <f t="shared" si="1"/>
        <v>Monday</v>
      </c>
      <c r="D43" s="48" t="str">
        <f t="shared" si="2"/>
        <v>0</v>
      </c>
      <c r="E43" s="12" t="str">
        <f t="shared" si="3"/>
        <v>Sunday</v>
      </c>
      <c r="F43" s="48" t="str">
        <f t="shared" si="4"/>
        <v>24</v>
      </c>
    </row>
    <row r="44" spans="1:6" x14ac:dyDescent="0.35">
      <c r="A44" s="12" t="s">
        <v>149</v>
      </c>
      <c r="B44" s="48" t="str">
        <f t="shared" si="0"/>
        <v>20058</v>
      </c>
      <c r="C44" s="12" t="str">
        <f t="shared" si="1"/>
        <v>Monday</v>
      </c>
      <c r="D44" s="48" t="str">
        <f t="shared" si="2"/>
        <v>0</v>
      </c>
      <c r="E44" s="12" t="str">
        <f t="shared" si="3"/>
        <v>Sunday</v>
      </c>
      <c r="F44" s="48" t="str">
        <f t="shared" si="4"/>
        <v>24</v>
      </c>
    </row>
    <row r="45" spans="1:6" x14ac:dyDescent="0.35">
      <c r="A45" s="12" t="s">
        <v>150</v>
      </c>
      <c r="B45" s="48" t="str">
        <f t="shared" si="0"/>
        <v>20060</v>
      </c>
      <c r="C45" s="12" t="str">
        <f t="shared" si="1"/>
        <v>Monday</v>
      </c>
      <c r="D45" s="48" t="str">
        <f t="shared" si="2"/>
        <v>0</v>
      </c>
      <c r="E45" s="12" t="str">
        <f t="shared" si="3"/>
        <v>Sunday</v>
      </c>
      <c r="F45" s="48" t="str">
        <f t="shared" si="4"/>
        <v>24</v>
      </c>
    </row>
    <row r="46" spans="1:6" x14ac:dyDescent="0.35">
      <c r="A46" s="12" t="s">
        <v>112</v>
      </c>
      <c r="B46" s="48" t="str">
        <f t="shared" si="0"/>
        <v>21000</v>
      </c>
      <c r="C46" s="12" t="str">
        <f t="shared" si="1"/>
        <v>Monday</v>
      </c>
      <c r="D46" s="48" t="str">
        <f t="shared" si="2"/>
        <v>0</v>
      </c>
      <c r="E46" s="12" t="str">
        <f t="shared" si="3"/>
        <v>Sunday</v>
      </c>
      <c r="F46" s="48" t="str">
        <f t="shared" si="4"/>
        <v>24</v>
      </c>
    </row>
    <row r="47" spans="1:6" x14ac:dyDescent="0.35">
      <c r="A47" s="12" t="s">
        <v>113</v>
      </c>
      <c r="B47" s="48" t="str">
        <f t="shared" si="0"/>
        <v>21002</v>
      </c>
      <c r="C47" s="12" t="str">
        <f t="shared" si="1"/>
        <v>Monday</v>
      </c>
      <c r="D47" s="48" t="str">
        <f t="shared" si="2"/>
        <v>0</v>
      </c>
      <c r="E47" s="12" t="str">
        <f t="shared" si="3"/>
        <v>Sunday</v>
      </c>
      <c r="F47" s="48" t="str">
        <f t="shared" si="4"/>
        <v>24</v>
      </c>
    </row>
    <row r="48" spans="1:6" x14ac:dyDescent="0.35">
      <c r="A48" s="12" t="s">
        <v>114</v>
      </c>
      <c r="B48" s="48" t="str">
        <f t="shared" si="0"/>
        <v>21004</v>
      </c>
      <c r="C48" s="12" t="str">
        <f t="shared" si="1"/>
        <v>Monday</v>
      </c>
      <c r="D48" s="48" t="str">
        <f t="shared" si="2"/>
        <v>0</v>
      </c>
      <c r="E48" s="12" t="str">
        <f t="shared" si="3"/>
        <v>Sunday</v>
      </c>
      <c r="F48" s="48" t="str">
        <f t="shared" si="4"/>
        <v>24</v>
      </c>
    </row>
    <row r="49" spans="1:6" x14ac:dyDescent="0.35">
      <c r="A49" s="12" t="s">
        <v>115</v>
      </c>
      <c r="B49" s="48" t="str">
        <f t="shared" si="0"/>
        <v>21006</v>
      </c>
      <c r="C49" s="12" t="str">
        <f t="shared" si="1"/>
        <v>Monday</v>
      </c>
      <c r="D49" s="48" t="str">
        <f t="shared" si="2"/>
        <v>0</v>
      </c>
      <c r="E49" s="12" t="str">
        <f t="shared" si="3"/>
        <v>Sunday</v>
      </c>
      <c r="F49" s="48" t="str">
        <f t="shared" si="4"/>
        <v>24</v>
      </c>
    </row>
    <row r="50" spans="1:6" x14ac:dyDescent="0.35">
      <c r="A50" s="12" t="s">
        <v>116</v>
      </c>
      <c r="B50" s="48" t="str">
        <f t="shared" si="0"/>
        <v>21008</v>
      </c>
      <c r="C50" s="12" t="str">
        <f t="shared" si="1"/>
        <v>Monday</v>
      </c>
      <c r="D50" s="48" t="str">
        <f t="shared" si="2"/>
        <v>0</v>
      </c>
      <c r="E50" s="12" t="str">
        <f t="shared" si="3"/>
        <v>Sunday</v>
      </c>
      <c r="F50" s="48" t="str">
        <f t="shared" si="4"/>
        <v>24</v>
      </c>
    </row>
    <row r="51" spans="1:6" x14ac:dyDescent="0.35">
      <c r="A51" s="12" t="s">
        <v>117</v>
      </c>
      <c r="B51" s="48" t="str">
        <f t="shared" si="0"/>
        <v>21010</v>
      </c>
      <c r="C51" s="12" t="str">
        <f t="shared" si="1"/>
        <v>Monday</v>
      </c>
      <c r="D51" s="48" t="str">
        <f t="shared" si="2"/>
        <v>0</v>
      </c>
      <c r="E51" s="12" t="str">
        <f t="shared" si="3"/>
        <v>Sunday</v>
      </c>
      <c r="F51" s="48" t="str">
        <f t="shared" si="4"/>
        <v>24</v>
      </c>
    </row>
    <row r="52" spans="1:6" x14ac:dyDescent="0.35">
      <c r="A52" s="12" t="s">
        <v>118</v>
      </c>
      <c r="B52" s="48" t="str">
        <f t="shared" si="0"/>
        <v>21012</v>
      </c>
      <c r="C52" s="12" t="str">
        <f t="shared" si="1"/>
        <v>Monday</v>
      </c>
      <c r="D52" s="48" t="str">
        <f t="shared" si="2"/>
        <v>0</v>
      </c>
      <c r="E52" s="12" t="str">
        <f t="shared" si="3"/>
        <v>Sunday</v>
      </c>
      <c r="F52" s="48" t="str">
        <f t="shared" si="4"/>
        <v>24</v>
      </c>
    </row>
    <row r="53" spans="1:6" x14ac:dyDescent="0.35">
      <c r="A53" s="12" t="s">
        <v>119</v>
      </c>
      <c r="B53" s="48" t="str">
        <f t="shared" si="0"/>
        <v>21014</v>
      </c>
      <c r="C53" s="12" t="str">
        <f t="shared" si="1"/>
        <v>Monday</v>
      </c>
      <c r="D53" s="48" t="str">
        <f t="shared" si="2"/>
        <v>0</v>
      </c>
      <c r="E53" s="12" t="str">
        <f t="shared" si="3"/>
        <v>Sunday</v>
      </c>
      <c r="F53" s="48" t="str">
        <f t="shared" si="4"/>
        <v>24</v>
      </c>
    </row>
    <row r="54" spans="1:6" x14ac:dyDescent="0.35">
      <c r="A54" s="12" t="s">
        <v>120</v>
      </c>
      <c r="B54" s="48" t="str">
        <f t="shared" si="0"/>
        <v>21016</v>
      </c>
      <c r="C54" s="12" t="str">
        <f t="shared" si="1"/>
        <v>Monday</v>
      </c>
      <c r="D54" s="48" t="str">
        <f t="shared" si="2"/>
        <v>0</v>
      </c>
      <c r="E54" s="12" t="str">
        <f t="shared" si="3"/>
        <v>Sunday</v>
      </c>
      <c r="F54" s="48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1" sqref="B1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37" t="s">
        <v>85</v>
      </c>
      <c r="B1" s="36" t="s">
        <v>167</v>
      </c>
    </row>
    <row r="2" spans="1:3" ht="18.5" x14ac:dyDescent="0.45">
      <c r="B2" s="35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178</v>
      </c>
    </row>
    <row r="7" spans="1:3" ht="14.5" x14ac:dyDescent="0.35">
      <c r="A7" s="3" t="s">
        <v>153</v>
      </c>
      <c r="B7" s="41" t="s">
        <v>179</v>
      </c>
    </row>
    <row r="10" spans="1:3" ht="23.5" x14ac:dyDescent="0.55000000000000004">
      <c r="A10" s="13" t="s">
        <v>162</v>
      </c>
    </row>
    <row r="11" spans="1:3" ht="14.5" x14ac:dyDescent="0.35">
      <c r="A11" s="27" t="s">
        <v>86</v>
      </c>
      <c r="B11" s="12" t="s">
        <v>87</v>
      </c>
      <c r="C11" s="12" t="s">
        <v>88</v>
      </c>
    </row>
    <row r="12" spans="1:3" ht="14.5" x14ac:dyDescent="0.35">
      <c r="A12" s="27">
        <v>44927</v>
      </c>
      <c r="B12" s="12" t="s">
        <v>59</v>
      </c>
      <c r="C12" s="12">
        <v>200</v>
      </c>
    </row>
    <row r="13" spans="1:3" ht="14.5" x14ac:dyDescent="0.35">
      <c r="A13" s="27">
        <v>44928</v>
      </c>
      <c r="B13" s="12" t="s">
        <v>60</v>
      </c>
      <c r="C13" s="12" t="e">
        <v>#N/A</v>
      </c>
    </row>
    <row r="14" spans="1:3" ht="14.5" x14ac:dyDescent="0.35">
      <c r="A14" s="27">
        <v>44929</v>
      </c>
      <c r="B14" s="12" t="s">
        <v>61</v>
      </c>
      <c r="C14" s="12">
        <v>50</v>
      </c>
    </row>
    <row r="15" spans="1:3" ht="14.5" x14ac:dyDescent="0.35">
      <c r="A15" s="27">
        <v>44930</v>
      </c>
      <c r="B15" s="12" t="s">
        <v>62</v>
      </c>
      <c r="C15" s="12" t="e">
        <v>#N/A</v>
      </c>
    </row>
    <row r="16" spans="1:3" ht="14.5" x14ac:dyDescent="0.35">
      <c r="A16" s="27">
        <v>44931</v>
      </c>
      <c r="B16" s="12" t="s">
        <v>63</v>
      </c>
      <c r="C16" s="12">
        <v>10</v>
      </c>
    </row>
    <row r="17" spans="1:3" ht="14.5" x14ac:dyDescent="0.35">
      <c r="A17" s="27">
        <v>44932</v>
      </c>
      <c r="B17" s="12" t="s">
        <v>154</v>
      </c>
      <c r="C17" s="12">
        <v>150</v>
      </c>
    </row>
    <row r="18" spans="1:3" ht="14.5" x14ac:dyDescent="0.35">
      <c r="A18" s="27">
        <v>44933</v>
      </c>
      <c r="B18" s="12" t="s">
        <v>155</v>
      </c>
      <c r="C18" s="12">
        <v>80</v>
      </c>
    </row>
    <row r="19" spans="1:3" ht="14.5" x14ac:dyDescent="0.35">
      <c r="A19" s="27">
        <v>44934</v>
      </c>
      <c r="B19" s="12" t="s">
        <v>156</v>
      </c>
      <c r="C19" s="12" t="e">
        <v>#N/A</v>
      </c>
    </row>
    <row r="20" spans="1:3" ht="14.5" x14ac:dyDescent="0.35">
      <c r="A20" s="27">
        <v>44935</v>
      </c>
      <c r="B20" s="12" t="s">
        <v>157</v>
      </c>
      <c r="C20" s="12">
        <v>30</v>
      </c>
    </row>
    <row r="21" spans="1:3" ht="14.5" x14ac:dyDescent="0.35">
      <c r="A21" s="27">
        <v>44936</v>
      </c>
      <c r="B21" s="12" t="s">
        <v>158</v>
      </c>
      <c r="C21" s="12" t="e">
        <v>#N/A</v>
      </c>
    </row>
    <row r="22" spans="1:3" ht="14.5" x14ac:dyDescent="0.35">
      <c r="B22" s="12" t="s">
        <v>159</v>
      </c>
      <c r="C22" s="20" cm="1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49"/>
  <sheetViews>
    <sheetView tabSelected="1" topLeftCell="A15" zoomScaleNormal="100" workbookViewId="0">
      <selection activeCell="C7" sqref="C7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37" t="s">
        <v>98</v>
      </c>
      <c r="B1" s="47" t="s">
        <v>175</v>
      </c>
      <c r="C1" s="47" t="s">
        <v>175</v>
      </c>
      <c r="D1" s="47" t="s">
        <v>175</v>
      </c>
      <c r="E1" s="47" t="s">
        <v>175</v>
      </c>
      <c r="F1" s="47" t="s">
        <v>175</v>
      </c>
      <c r="G1" s="47" t="s">
        <v>175</v>
      </c>
      <c r="H1" s="47" t="s">
        <v>175</v>
      </c>
      <c r="I1" s="47" t="s">
        <v>175</v>
      </c>
      <c r="J1" s="47" t="s">
        <v>175</v>
      </c>
      <c r="K1" s="47" t="s">
        <v>175</v>
      </c>
    </row>
    <row r="3" spans="1:14" ht="14.5" x14ac:dyDescent="0.35">
      <c r="B3" s="1" t="s">
        <v>151</v>
      </c>
    </row>
    <row r="4" spans="1:14" ht="18.5" x14ac:dyDescent="0.45">
      <c r="A4" s="38" t="s">
        <v>53</v>
      </c>
      <c r="B4" s="1" t="s">
        <v>180</v>
      </c>
    </row>
    <row r="5" spans="1:14" ht="18.5" x14ac:dyDescent="0.45">
      <c r="A5" s="38" t="s">
        <v>153</v>
      </c>
      <c r="B5" s="1" t="s">
        <v>181</v>
      </c>
    </row>
    <row r="6" spans="1:14" ht="14.5" x14ac:dyDescent="0.35">
      <c r="A6" s="3"/>
      <c r="B6" s="1"/>
    </row>
    <row r="8" spans="1:14" ht="23.5" x14ac:dyDescent="0.55000000000000004">
      <c r="A8" s="13" t="s">
        <v>162</v>
      </c>
      <c r="M8" s="13" t="s">
        <v>163</v>
      </c>
    </row>
    <row r="9" spans="1:14" ht="14.5" x14ac:dyDescent="0.35">
      <c r="A9" s="21"/>
      <c r="B9" s="21" t="s">
        <v>89</v>
      </c>
      <c r="C9" s="21" t="s">
        <v>90</v>
      </c>
      <c r="D9" s="21" t="s">
        <v>91</v>
      </c>
      <c r="E9" s="21" t="s">
        <v>92</v>
      </c>
      <c r="F9" s="21" t="s">
        <v>93</v>
      </c>
      <c r="G9" s="21" t="s">
        <v>94</v>
      </c>
      <c r="H9" s="21" t="s">
        <v>95</v>
      </c>
      <c r="I9" s="21" t="s">
        <v>96</v>
      </c>
      <c r="J9" s="21" t="s">
        <v>97</v>
      </c>
      <c r="M9" s="14" t="s">
        <v>43</v>
      </c>
      <c r="N9" s="14" t="s">
        <v>99</v>
      </c>
    </row>
    <row r="10" spans="1:14" ht="14.5" x14ac:dyDescent="0.35">
      <c r="A10" s="21" t="s">
        <v>89</v>
      </c>
      <c r="B10" s="20">
        <v>-1</v>
      </c>
      <c r="C10" s="20">
        <v>95</v>
      </c>
      <c r="D10" s="20">
        <v>-1</v>
      </c>
      <c r="E10" s="20">
        <v>185</v>
      </c>
      <c r="F10" s="20">
        <v>255</v>
      </c>
      <c r="G10" s="20">
        <v>305</v>
      </c>
      <c r="H10" s="20">
        <v>415</v>
      </c>
      <c r="I10" s="20">
        <v>480</v>
      </c>
      <c r="J10" s="20">
        <v>525</v>
      </c>
      <c r="M10" s="10">
        <v>10100</v>
      </c>
      <c r="N10" s="10" t="s">
        <v>89</v>
      </c>
    </row>
    <row r="11" spans="1:14" ht="14.5" x14ac:dyDescent="0.35">
      <c r="A11" s="21" t="s">
        <v>90</v>
      </c>
      <c r="B11" s="20">
        <v>95</v>
      </c>
      <c r="C11" s="20">
        <v>-1</v>
      </c>
      <c r="D11" s="20">
        <v>-1</v>
      </c>
      <c r="E11" s="20">
        <v>90</v>
      </c>
      <c r="F11" s="20">
        <v>160</v>
      </c>
      <c r="G11" s="20">
        <v>210</v>
      </c>
      <c r="H11" s="20">
        <v>325</v>
      </c>
      <c r="I11" s="20">
        <v>390</v>
      </c>
      <c r="J11" s="20">
        <v>430</v>
      </c>
      <c r="M11" s="10">
        <v>10102</v>
      </c>
      <c r="N11" s="10" t="s">
        <v>90</v>
      </c>
    </row>
    <row r="12" spans="1:14" ht="14.5" x14ac:dyDescent="0.35">
      <c r="A12" s="21" t="s">
        <v>91</v>
      </c>
      <c r="B12" s="20">
        <v>-1</v>
      </c>
      <c r="C12" s="20">
        <v>-1</v>
      </c>
      <c r="D12" s="20">
        <v>-1</v>
      </c>
      <c r="E12" s="20">
        <v>60</v>
      </c>
      <c r="F12" s="20">
        <v>130</v>
      </c>
      <c r="G12" s="20">
        <v>180</v>
      </c>
      <c r="H12" s="20">
        <v>295</v>
      </c>
      <c r="I12" s="20">
        <v>355</v>
      </c>
      <c r="J12" s="20">
        <v>400</v>
      </c>
      <c r="M12" s="10">
        <v>10104</v>
      </c>
      <c r="N12" s="10" t="s">
        <v>91</v>
      </c>
    </row>
    <row r="13" spans="1:14" ht="14.5" x14ac:dyDescent="0.35">
      <c r="A13" s="21" t="s">
        <v>92</v>
      </c>
      <c r="B13" s="20">
        <v>185</v>
      </c>
      <c r="C13" s="20">
        <v>90</v>
      </c>
      <c r="D13" s="20">
        <v>60</v>
      </c>
      <c r="E13" s="20">
        <v>-1</v>
      </c>
      <c r="F13" s="20">
        <v>70</v>
      </c>
      <c r="G13" s="20">
        <v>120</v>
      </c>
      <c r="H13" s="20">
        <v>235</v>
      </c>
      <c r="I13" s="20">
        <v>300</v>
      </c>
      <c r="J13" s="20">
        <v>340</v>
      </c>
      <c r="M13" s="10">
        <v>10106</v>
      </c>
      <c r="N13" s="10" t="s">
        <v>92</v>
      </c>
    </row>
    <row r="14" spans="1:14" ht="14.5" x14ac:dyDescent="0.35">
      <c r="A14" s="21" t="s">
        <v>93</v>
      </c>
      <c r="B14" s="20">
        <v>255</v>
      </c>
      <c r="C14" s="20">
        <v>160</v>
      </c>
      <c r="D14" s="20">
        <v>130</v>
      </c>
      <c r="E14" s="20">
        <v>70</v>
      </c>
      <c r="F14" s="20">
        <v>-1</v>
      </c>
      <c r="G14" s="20">
        <v>50</v>
      </c>
      <c r="H14" s="20">
        <v>165</v>
      </c>
      <c r="I14" s="20">
        <v>230</v>
      </c>
      <c r="J14" s="20">
        <v>270</v>
      </c>
      <c r="M14" s="10">
        <v>10108</v>
      </c>
      <c r="N14" s="10" t="s">
        <v>93</v>
      </c>
    </row>
    <row r="15" spans="1:14" ht="14.5" x14ac:dyDescent="0.35">
      <c r="A15" s="21" t="s">
        <v>94</v>
      </c>
      <c r="B15" s="20">
        <v>305</v>
      </c>
      <c r="C15" s="20">
        <v>210</v>
      </c>
      <c r="D15" s="20">
        <v>180</v>
      </c>
      <c r="E15" s="20">
        <v>120</v>
      </c>
      <c r="F15" s="20">
        <v>50</v>
      </c>
      <c r="G15" s="20">
        <v>-1</v>
      </c>
      <c r="H15" s="20">
        <v>115</v>
      </c>
      <c r="I15" s="20">
        <v>180</v>
      </c>
      <c r="J15" s="20">
        <v>220</v>
      </c>
      <c r="M15" s="10">
        <v>10110</v>
      </c>
      <c r="N15" s="10" t="s">
        <v>94</v>
      </c>
    </row>
    <row r="16" spans="1:14" ht="14.5" x14ac:dyDescent="0.35">
      <c r="A16" s="21" t="s">
        <v>95</v>
      </c>
      <c r="B16" s="20">
        <v>415</v>
      </c>
      <c r="C16" s="20">
        <v>325</v>
      </c>
      <c r="D16" s="20">
        <v>295</v>
      </c>
      <c r="E16" s="20">
        <v>235</v>
      </c>
      <c r="F16" s="20">
        <v>165</v>
      </c>
      <c r="G16" s="20">
        <v>115</v>
      </c>
      <c r="H16" s="20">
        <v>-1</v>
      </c>
      <c r="I16" s="20">
        <v>65</v>
      </c>
      <c r="J16" s="20">
        <v>105</v>
      </c>
      <c r="M16" s="10">
        <v>10112</v>
      </c>
      <c r="N16" s="10" t="s">
        <v>95</v>
      </c>
    </row>
    <row r="17" spans="1:14" ht="14.5" x14ac:dyDescent="0.35">
      <c r="A17" s="21" t="s">
        <v>96</v>
      </c>
      <c r="B17" s="20">
        <v>480</v>
      </c>
      <c r="C17" s="20">
        <v>390</v>
      </c>
      <c r="D17" s="20">
        <v>355</v>
      </c>
      <c r="E17" s="20">
        <v>300</v>
      </c>
      <c r="F17" s="20">
        <v>230</v>
      </c>
      <c r="G17" s="20">
        <v>180</v>
      </c>
      <c r="H17" s="20">
        <v>65</v>
      </c>
      <c r="I17" s="20">
        <v>-1</v>
      </c>
      <c r="J17" s="20">
        <v>40</v>
      </c>
      <c r="M17" s="10">
        <v>10114</v>
      </c>
      <c r="N17" s="10" t="s">
        <v>96</v>
      </c>
    </row>
    <row r="18" spans="1:14" ht="14.5" x14ac:dyDescent="0.35">
      <c r="A18" s="21" t="s">
        <v>97</v>
      </c>
      <c r="B18" s="20">
        <v>525</v>
      </c>
      <c r="C18" s="20">
        <v>430</v>
      </c>
      <c r="D18" s="20">
        <v>400</v>
      </c>
      <c r="E18" s="20">
        <v>340</v>
      </c>
      <c r="F18" s="20">
        <v>270</v>
      </c>
      <c r="G18" s="20">
        <v>220</v>
      </c>
      <c r="H18" s="20">
        <v>105</v>
      </c>
      <c r="I18" s="20">
        <v>40</v>
      </c>
      <c r="J18" s="20">
        <v>-1</v>
      </c>
      <c r="M18" s="11">
        <v>10116</v>
      </c>
      <c r="N18" s="11" t="s">
        <v>97</v>
      </c>
    </row>
    <row r="21" spans="1:14" ht="23.5" x14ac:dyDescent="0.55000000000000004">
      <c r="A21" s="13" t="s">
        <v>168</v>
      </c>
    </row>
    <row r="22" spans="1:14" ht="14.5" x14ac:dyDescent="0.35">
      <c r="A22" s="12" t="s">
        <v>100</v>
      </c>
      <c r="B22" s="12" t="s">
        <v>101</v>
      </c>
      <c r="C22" s="12" t="s">
        <v>102</v>
      </c>
      <c r="G22"/>
      <c r="H22"/>
      <c r="I22"/>
    </row>
    <row r="23" spans="1:14" ht="14.5" x14ac:dyDescent="0.35">
      <c r="A23" s="12">
        <v>10100</v>
      </c>
      <c r="B23" s="12">
        <v>10102</v>
      </c>
      <c r="C23" s="20">
        <f>IFERROR(INDEX($A$9:$J$18, MATCH(VLOOKUP(A23, $M$9:$N$18, 2, 0), $A$9:$A$18, 0), MATCH(VLOOKUP(B23, $M$9:$N$18, 2, 0), $A$9:$J$9, 0)), "")</f>
        <v>95</v>
      </c>
      <c r="G23"/>
      <c r="H23"/>
      <c r="I23"/>
    </row>
    <row r="24" spans="1:14" ht="14.5" x14ac:dyDescent="0.35">
      <c r="A24" s="12">
        <v>10100</v>
      </c>
      <c r="B24" s="12">
        <v>10104</v>
      </c>
      <c r="C24" s="20">
        <f t="shared" ref="C24:C35" si="0">IFERROR(INDEX($A$9:$J$18, MATCH(VLOOKUP(A24, $M$9:$N$18, 2, 0), $A$9:$A$18, 0), MATCH(VLOOKUP(B24, $M$9:$N$18, 2, 0), $A$9:$J$9, 0)), "")</f>
        <v>-1</v>
      </c>
      <c r="G24"/>
      <c r="H24"/>
      <c r="I24"/>
    </row>
    <row r="25" spans="1:14" ht="14.5" x14ac:dyDescent="0.35">
      <c r="A25" s="12">
        <v>10108</v>
      </c>
      <c r="B25" s="12">
        <v>10102</v>
      </c>
      <c r="C25" s="20">
        <f t="shared" si="0"/>
        <v>160</v>
      </c>
      <c r="G25"/>
      <c r="H25"/>
      <c r="I25"/>
    </row>
    <row r="26" spans="1:14" ht="14.5" x14ac:dyDescent="0.35">
      <c r="A26" s="12">
        <v>10100</v>
      </c>
      <c r="B26" s="12">
        <v>10106</v>
      </c>
      <c r="C26" s="20">
        <f t="shared" si="0"/>
        <v>185</v>
      </c>
      <c r="G26"/>
      <c r="H26"/>
      <c r="I26"/>
    </row>
    <row r="27" spans="1:14" ht="14.5" x14ac:dyDescent="0.35">
      <c r="A27" s="12">
        <v>10108</v>
      </c>
      <c r="B27" s="12">
        <v>10110</v>
      </c>
      <c r="C27" s="20">
        <f t="shared" si="0"/>
        <v>50</v>
      </c>
      <c r="G27"/>
      <c r="H27"/>
      <c r="I27"/>
    </row>
    <row r="28" spans="1:14" ht="14.5" x14ac:dyDescent="0.35">
      <c r="A28" s="12">
        <v>10102</v>
      </c>
      <c r="B28" s="12">
        <v>10104</v>
      </c>
      <c r="C28" s="20">
        <f t="shared" si="0"/>
        <v>-1</v>
      </c>
      <c r="G28"/>
      <c r="H28"/>
      <c r="I28"/>
    </row>
    <row r="29" spans="1:14" ht="14.5" x14ac:dyDescent="0.35">
      <c r="A29" s="12">
        <v>10106</v>
      </c>
      <c r="B29" s="12">
        <v>10108</v>
      </c>
      <c r="C29" s="20">
        <f t="shared" si="0"/>
        <v>70</v>
      </c>
      <c r="G29"/>
      <c r="H29"/>
      <c r="I29"/>
    </row>
    <row r="30" spans="1:14" ht="14.5" x14ac:dyDescent="0.35">
      <c r="A30" s="12">
        <v>10102</v>
      </c>
      <c r="B30" s="12">
        <v>10106</v>
      </c>
      <c r="C30" s="20">
        <f t="shared" si="0"/>
        <v>90</v>
      </c>
    </row>
    <row r="31" spans="1:14" ht="14.5" x14ac:dyDescent="0.35">
      <c r="A31" s="12">
        <v>10110</v>
      </c>
      <c r="B31" s="12">
        <v>10114</v>
      </c>
      <c r="C31" s="20">
        <f t="shared" si="0"/>
        <v>180</v>
      </c>
    </row>
    <row r="32" spans="1:14" ht="14.5" x14ac:dyDescent="0.35">
      <c r="A32" s="12">
        <v>10104</v>
      </c>
      <c r="B32" s="12">
        <v>10106</v>
      </c>
      <c r="C32" s="20">
        <f t="shared" si="0"/>
        <v>60</v>
      </c>
    </row>
    <row r="33" spans="1:8" ht="14.5" x14ac:dyDescent="0.35">
      <c r="A33" s="12">
        <v>10110</v>
      </c>
      <c r="B33" s="12">
        <v>10112</v>
      </c>
      <c r="C33" s="20">
        <f t="shared" si="0"/>
        <v>115</v>
      </c>
    </row>
    <row r="34" spans="1:8" ht="14.5" x14ac:dyDescent="0.35">
      <c r="A34" s="12">
        <v>10100</v>
      </c>
      <c r="B34" s="12">
        <v>10114</v>
      </c>
      <c r="C34" s="20">
        <f t="shared" si="0"/>
        <v>480</v>
      </c>
    </row>
    <row r="35" spans="1:8" ht="14.5" x14ac:dyDescent="0.35">
      <c r="A35" s="12">
        <v>10112</v>
      </c>
      <c r="B35" s="12">
        <v>10116</v>
      </c>
      <c r="C35" s="20">
        <f t="shared" si="0"/>
        <v>105</v>
      </c>
    </row>
    <row r="36" spans="1:8" x14ac:dyDescent="0.3">
      <c r="C36" t="str">
        <f t="shared" ref="C24:C36" si="1">IFERROR(INDEX($A22:$J31, MATCH(VLOOKUP(A36, $M22:$N31, 2, FALSE), A22:J22, 0), MATCH(VLOOKUP(B36, $M22:$N31, 2, FALSE), A22:J22, 0)), "")</f>
        <v/>
      </c>
    </row>
    <row r="43" spans="1:8" x14ac:dyDescent="0.3">
      <c r="H43" s="2">
        <f>IFERROR(INDEX(A9:J18,MATCH(VLOOKUP(A26,M9:N18,2,FALSE),A9:J9,0),MATCH(VLOOKUP(B26,M9:N18,2,FALSE),A9:J9,0)),"")</f>
        <v>185</v>
      </c>
    </row>
    <row r="44" spans="1:8" x14ac:dyDescent="0.3">
      <c r="H44" s="2" t="str">
        <f>IFERROR(INDEX(A10:J19,MATCH(VLOOKUP(A27,M10:N19,2,FALSE),A10:J10,0),MATCH(VLOOKUP(B27,M10:N19,2,FALSE),A10:J10,0)),"")</f>
        <v/>
      </c>
    </row>
    <row r="45" spans="1:8" x14ac:dyDescent="0.3">
      <c r="H45" s="2" t="str">
        <f t="shared" ref="H44:H49" si="2">IFERROR(INDEX(A11:J20,MATCH(VLOOKUP(A28,M11:N20,2,FALSE),A11:J11,0),MATCH(VLOOKUP(B28,M11:N20,2,FALSE),A11:J11,0)),"")</f>
        <v/>
      </c>
    </row>
    <row r="46" spans="1:8" x14ac:dyDescent="0.3">
      <c r="H46" s="2" t="str">
        <f t="shared" si="2"/>
        <v/>
      </c>
    </row>
    <row r="47" spans="1:8" x14ac:dyDescent="0.3">
      <c r="H47" s="2" t="str">
        <f t="shared" si="2"/>
        <v/>
      </c>
    </row>
    <row r="48" spans="1:8" x14ac:dyDescent="0.3">
      <c r="H48" s="2" t="str">
        <f t="shared" si="2"/>
        <v/>
      </c>
    </row>
    <row r="49" spans="8:8" x14ac:dyDescent="0.3">
      <c r="H49" s="2" t="str">
        <f t="shared" si="2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Ajay Tiwari</cp:lastModifiedBy>
  <dcterms:created xsi:type="dcterms:W3CDTF">2015-02-10T17:33:11Z</dcterms:created>
  <dcterms:modified xsi:type="dcterms:W3CDTF">2023-12-10T14:03:44Z</dcterms:modified>
</cp:coreProperties>
</file>